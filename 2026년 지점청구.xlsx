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drawings/vmlDrawing4.vml" ContentType="application/vnd.openxmlformats-officedocument.vmlDrawing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월_2" sheetId="1" state="visible" r:id="rId3"/>
    <sheet name="1월" sheetId="2" state="visible" r:id="rId4"/>
    <sheet name="12월" sheetId="3" state="visible" r:id="rId5"/>
    <sheet name="11월" sheetId="4" state="visible" r:id="rId6"/>
    <sheet name="10월" sheetId="5" state="visible" r:id="rId7"/>
    <sheet name="추가비용발생거래처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H3" authorId="0">
      <text>
        <r>
          <rPr>
            <sz val="10"/>
            <rFont val="Noto Sans CJK KR"/>
            <family val="2"/>
          </rPr>
          <t xml:space="preserve">회송비</t>
        </r>
        <r>
          <rPr>
            <b val="true"/>
            <sz val="9"/>
            <color rgb="FF000000"/>
            <rFont val="Noto Sans CJK KR"/>
            <family val="2"/>
          </rPr>
          <t xml:space="preserve"> 청구
소량 기준
진주 울산 거제 통영 </t>
        </r>
        <r>
          <rPr>
            <b val="true"/>
            <sz val="9"/>
            <color rgb="FF000000"/>
            <rFont val="Tahoma"/>
            <family val="2"/>
            <charset val="1"/>
          </rPr>
          <t xml:space="preserve">8
</t>
        </r>
        <r>
          <rPr>
            <b val="true"/>
            <sz val="9"/>
            <color rgb="FF000000"/>
            <rFont val="Noto Sans CJK KR"/>
            <family val="2"/>
          </rPr>
          <t xml:space="preserve">김해 </t>
        </r>
        <r>
          <rPr>
            <b val="true"/>
            <sz val="9"/>
            <color rgb="FF000000"/>
            <rFont val="Tahoma"/>
            <family val="2"/>
            <charset val="1"/>
          </rPr>
          <t xml:space="preserve">4
</t>
        </r>
        <r>
          <rPr>
            <b val="true"/>
            <sz val="9"/>
            <color rgb="FF000000"/>
            <rFont val="Noto Sans CJK KR"/>
            <family val="2"/>
          </rPr>
          <t xml:space="preserve">부산 창원 양산  </t>
        </r>
        <r>
          <rPr>
            <b val="true"/>
            <sz val="9"/>
            <color rgb="FF000000"/>
            <rFont val="Tahoma"/>
            <family val="2"/>
            <charset val="1"/>
          </rPr>
          <t xml:space="preserve">5
</t>
        </r>
      </text>
    </comment>
    <comment ref="H19" authorId="0">
      <text>
        <r>
          <rPr>
            <sz val="10"/>
            <rFont val="Noto Sans CJK KR"/>
            <family val="2"/>
          </rPr>
          <t xml:space="preserve">대리점</t>
        </r>
        <r>
          <rPr>
            <b val="true"/>
            <sz val="9"/>
            <color rgb="FF000000"/>
            <rFont val="Noto Sans CJK KR"/>
            <family val="2"/>
          </rPr>
          <t xml:space="preserve"> 별도차량 배송 
</t>
        </r>
        <r>
          <rPr>
            <b val="true"/>
            <sz val="9"/>
            <color rgb="FF000000"/>
            <rFont val="Tahoma"/>
            <family val="2"/>
            <charset val="1"/>
          </rPr>
          <t xml:space="preserve">16</t>
        </r>
        <r>
          <rPr>
            <b val="true"/>
            <sz val="9"/>
            <color rgb="FF000000"/>
            <rFont val="Noto Sans CJK KR"/>
            <family val="2"/>
          </rPr>
          <t xml:space="preserve">만원 청구
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H3" authorId="0">
      <text>
        <r>
          <rPr>
            <sz val="10"/>
            <rFont val="Noto Sans CJK KR"/>
            <family val="2"/>
          </rPr>
          <t xml:space="preserve">회송비</t>
        </r>
        <r>
          <rPr>
            <b val="true"/>
            <sz val="9"/>
            <color rgb="FF000000"/>
            <rFont val="Noto Sans CJK KR"/>
            <family val="2"/>
          </rPr>
          <t xml:space="preserve"> 청구
소량 기준
진주 울산 거제 통영 </t>
        </r>
        <r>
          <rPr>
            <b val="true"/>
            <sz val="9"/>
            <color rgb="FF000000"/>
            <rFont val="Tahoma"/>
            <family val="2"/>
            <charset val="1"/>
          </rPr>
          <t xml:space="preserve">8
</t>
        </r>
        <r>
          <rPr>
            <b val="true"/>
            <sz val="9"/>
            <color rgb="FF000000"/>
            <rFont val="Noto Sans CJK KR"/>
            <family val="2"/>
          </rPr>
          <t xml:space="preserve">김해 </t>
        </r>
        <r>
          <rPr>
            <b val="true"/>
            <sz val="9"/>
            <color rgb="FF000000"/>
            <rFont val="Tahoma"/>
            <family val="2"/>
            <charset val="1"/>
          </rPr>
          <t xml:space="preserve">4
</t>
        </r>
        <r>
          <rPr>
            <b val="true"/>
            <sz val="9"/>
            <color rgb="FF000000"/>
            <rFont val="Noto Sans CJK KR"/>
            <family val="2"/>
          </rPr>
          <t xml:space="preserve">부산 창원 양산  </t>
        </r>
        <r>
          <rPr>
            <b val="true"/>
            <sz val="9"/>
            <color rgb="FF000000"/>
            <rFont val="Tahoma"/>
            <family val="2"/>
            <charset val="1"/>
          </rPr>
          <t xml:space="preserve">5
</t>
        </r>
      </text>
    </comment>
    <comment ref="H18" authorId="0">
      <text>
        <r>
          <rPr>
            <sz val="10"/>
            <rFont val="Noto Sans CJK KR"/>
            <family val="2"/>
          </rPr>
          <t xml:space="preserve">대리점</t>
        </r>
        <r>
          <rPr>
            <b val="true"/>
            <sz val="9"/>
            <color rgb="FF000000"/>
            <rFont val="Noto Sans CJK KR"/>
            <family val="2"/>
          </rPr>
          <t xml:space="preserve"> 별도차량 배송 
</t>
        </r>
        <r>
          <rPr>
            <b val="true"/>
            <sz val="9"/>
            <color rgb="FF000000"/>
            <rFont val="Tahoma"/>
            <family val="2"/>
            <charset val="1"/>
          </rPr>
          <t xml:space="preserve">16</t>
        </r>
        <r>
          <rPr>
            <b val="true"/>
            <sz val="9"/>
            <color rgb="FF000000"/>
            <rFont val="Noto Sans CJK KR"/>
            <family val="2"/>
          </rPr>
          <t xml:space="preserve">만원 청구
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H3" authorId="0">
      <text>
        <r>
          <rPr>
            <sz val="10"/>
            <rFont val="Noto Sans CJK KR"/>
            <family val="2"/>
          </rPr>
          <t xml:space="preserve">회송비</t>
        </r>
        <r>
          <rPr>
            <b val="true"/>
            <sz val="9"/>
            <color rgb="FF000000"/>
            <rFont val="Noto Sans CJK KR"/>
            <family val="2"/>
          </rPr>
          <t xml:space="preserve"> 청구
소량 기준
진주 울산 거제 통영 </t>
        </r>
        <r>
          <rPr>
            <b val="true"/>
            <sz val="9"/>
            <color rgb="FF000000"/>
            <rFont val="Tahoma"/>
            <family val="2"/>
            <charset val="1"/>
          </rPr>
          <t xml:space="preserve">8
</t>
        </r>
        <r>
          <rPr>
            <b val="true"/>
            <sz val="9"/>
            <color rgb="FF000000"/>
            <rFont val="Noto Sans CJK KR"/>
            <family val="2"/>
          </rPr>
          <t xml:space="preserve">김해 </t>
        </r>
        <r>
          <rPr>
            <b val="true"/>
            <sz val="9"/>
            <color rgb="FF000000"/>
            <rFont val="Tahoma"/>
            <family val="2"/>
            <charset val="1"/>
          </rPr>
          <t xml:space="preserve">4
</t>
        </r>
        <r>
          <rPr>
            <b val="true"/>
            <sz val="9"/>
            <color rgb="FF000000"/>
            <rFont val="Noto Sans CJK KR"/>
            <family val="2"/>
          </rPr>
          <t xml:space="preserve">부산 창원 양산  </t>
        </r>
        <r>
          <rPr>
            <b val="true"/>
            <sz val="9"/>
            <color rgb="FF000000"/>
            <rFont val="Tahoma"/>
            <family val="2"/>
            <charset val="1"/>
          </rPr>
          <t xml:space="preserve">5
</t>
        </r>
      </text>
    </comment>
    <comment ref="H18" authorId="0">
      <text>
        <r>
          <rPr>
            <sz val="10"/>
            <rFont val="Noto Sans CJK KR"/>
            <family val="2"/>
          </rPr>
          <t xml:space="preserve">대리점</t>
        </r>
        <r>
          <rPr>
            <b val="true"/>
            <sz val="9"/>
            <color rgb="FF000000"/>
            <rFont val="Noto Sans CJK KR"/>
            <family val="2"/>
          </rPr>
          <t xml:space="preserve"> 별도차량 배송 
</t>
        </r>
        <r>
          <rPr>
            <b val="true"/>
            <sz val="9"/>
            <color rgb="FF000000"/>
            <rFont val="Tahoma"/>
            <family val="2"/>
            <charset val="1"/>
          </rPr>
          <t xml:space="preserve">16</t>
        </r>
        <r>
          <rPr>
            <b val="true"/>
            <sz val="9"/>
            <color rgb="FF000000"/>
            <rFont val="Noto Sans CJK KR"/>
            <family val="2"/>
          </rPr>
          <t xml:space="preserve">만원 청구
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H3" authorId="0">
      <text>
        <r>
          <rPr>
            <sz val="10"/>
            <rFont val="Noto Sans CJK KR"/>
            <family val="2"/>
          </rPr>
          <t xml:space="preserve">회송비</t>
        </r>
        <r>
          <rPr>
            <b val="true"/>
            <sz val="9"/>
            <color rgb="FF000000"/>
            <rFont val="Noto Sans CJK KR"/>
            <family val="2"/>
          </rPr>
          <t xml:space="preserve"> 청구
소량 기준
진주 울산 거제 통영 </t>
        </r>
        <r>
          <rPr>
            <b val="true"/>
            <sz val="9"/>
            <color rgb="FF000000"/>
            <rFont val="Tahoma"/>
            <family val="2"/>
            <charset val="1"/>
          </rPr>
          <t xml:space="preserve">8
</t>
        </r>
        <r>
          <rPr>
            <b val="true"/>
            <sz val="9"/>
            <color rgb="FF000000"/>
            <rFont val="Noto Sans CJK KR"/>
            <family val="2"/>
          </rPr>
          <t xml:space="preserve">김해 </t>
        </r>
        <r>
          <rPr>
            <b val="true"/>
            <sz val="9"/>
            <color rgb="FF000000"/>
            <rFont val="Tahoma"/>
            <family val="2"/>
            <charset val="1"/>
          </rPr>
          <t xml:space="preserve">4
</t>
        </r>
        <r>
          <rPr>
            <b val="true"/>
            <sz val="9"/>
            <color rgb="FF000000"/>
            <rFont val="Noto Sans CJK KR"/>
            <family val="2"/>
          </rPr>
          <t xml:space="preserve">부산 창원 양산  </t>
        </r>
        <r>
          <rPr>
            <b val="true"/>
            <sz val="9"/>
            <color rgb="FF000000"/>
            <rFont val="Tahoma"/>
            <family val="2"/>
            <charset val="1"/>
          </rPr>
          <t xml:space="preserve">5
</t>
        </r>
      </text>
    </comment>
    <comment ref="H18" authorId="0">
      <text>
        <r>
          <rPr>
            <sz val="10"/>
            <rFont val="Noto Sans CJK KR"/>
            <family val="2"/>
          </rPr>
          <t xml:space="preserve">대리점</t>
        </r>
        <r>
          <rPr>
            <b val="true"/>
            <sz val="9"/>
            <color rgb="FF000000"/>
            <rFont val="Noto Sans CJK KR"/>
            <family val="2"/>
          </rPr>
          <t xml:space="preserve"> 별도차량 배송 
</t>
        </r>
        <r>
          <rPr>
            <b val="true"/>
            <sz val="9"/>
            <color rgb="FF000000"/>
            <rFont val="Tahoma"/>
            <family val="2"/>
            <charset val="1"/>
          </rPr>
          <t xml:space="preserve">16</t>
        </r>
        <r>
          <rPr>
            <b val="true"/>
            <sz val="9"/>
            <color rgb="FF000000"/>
            <rFont val="Noto Sans CJK KR"/>
            <family val="2"/>
          </rPr>
          <t xml:space="preserve">만원 청구
</t>
        </r>
      </text>
    </comment>
  </commentList>
</comments>
</file>

<file path=xl/sharedStrings.xml><?xml version="1.0" encoding="utf-8"?>
<sst xmlns="http://schemas.openxmlformats.org/spreadsheetml/2006/main" count="480" uniqueCount="150">
  <si>
    <r>
      <rPr>
        <b val="true"/>
        <sz val="14"/>
        <color theme="1"/>
        <rFont val="굴림체"/>
        <family val="3"/>
        <charset val="129"/>
      </rPr>
      <t xml:space="preserve">2026</t>
    </r>
    <r>
      <rPr>
        <b val="true"/>
        <sz val="14"/>
        <color theme="1"/>
        <rFont val="Noto Sans CJK KR"/>
        <family val="2"/>
      </rPr>
      <t xml:space="preserve">년 </t>
    </r>
    <r>
      <rPr>
        <b val="true"/>
        <sz val="14"/>
        <color theme="1"/>
        <rFont val="굴림체"/>
        <family val="3"/>
        <charset val="129"/>
      </rPr>
      <t xml:space="preserve">1</t>
    </r>
    <r>
      <rPr>
        <b val="true"/>
        <sz val="14"/>
        <color theme="1"/>
        <rFont val="Noto Sans CJK KR"/>
        <family val="2"/>
      </rPr>
      <t xml:space="preserve">월</t>
    </r>
  </si>
  <si>
    <t xml:space="preserve">지점청구</t>
  </si>
  <si>
    <r>
      <rPr>
        <sz val="9"/>
        <color theme="1"/>
        <rFont val="굴림체"/>
        <family val="2"/>
        <charset val="129"/>
      </rPr>
      <t xml:space="preserve">21</t>
    </r>
    <r>
      <rPr>
        <sz val="9"/>
        <color theme="1"/>
        <rFont val="Noto Sans CJK KR"/>
        <family val="2"/>
      </rPr>
      <t xml:space="preserve">월</t>
    </r>
    <r>
      <rPr>
        <sz val="9"/>
        <color theme="1"/>
        <rFont val="굴림체"/>
        <family val="2"/>
        <charset val="129"/>
      </rPr>
      <t xml:space="preserve">26 ~ 1</t>
    </r>
    <r>
      <rPr>
        <sz val="9"/>
        <color theme="1"/>
        <rFont val="Noto Sans CJK KR"/>
        <family val="2"/>
      </rPr>
      <t xml:space="preserve">월</t>
    </r>
    <r>
      <rPr>
        <sz val="9"/>
        <color theme="1"/>
        <rFont val="굴림체"/>
        <family val="2"/>
        <charset val="129"/>
      </rPr>
      <t xml:space="preserve">25</t>
    </r>
    <r>
      <rPr>
        <sz val="9"/>
        <color theme="1"/>
        <rFont val="Noto Sans CJK KR"/>
        <family val="2"/>
      </rPr>
      <t xml:space="preserve">일</t>
    </r>
  </si>
  <si>
    <t xml:space="preserve">고정비용 청구 거래</t>
  </si>
  <si>
    <r>
      <rPr>
        <sz val="9"/>
        <color theme="1"/>
        <rFont val="Noto Sans CJK KR"/>
        <family val="2"/>
      </rPr>
      <t xml:space="preserve">단위 </t>
    </r>
    <r>
      <rPr>
        <sz val="9"/>
        <color theme="1"/>
        <rFont val="굴림체"/>
        <family val="2"/>
        <charset val="129"/>
      </rPr>
      <t xml:space="preserve">: </t>
    </r>
    <r>
      <rPr>
        <sz val="9"/>
        <color theme="1"/>
        <rFont val="Noto Sans CJK KR"/>
        <family val="2"/>
      </rPr>
      <t xml:space="preserve">만원</t>
    </r>
  </si>
  <si>
    <t xml:space="preserve">배송</t>
  </si>
  <si>
    <t xml:space="preserve">청구처</t>
  </si>
  <si>
    <t xml:space="preserve">청구비용</t>
  </si>
  <si>
    <t xml:space="preserve">배송일</t>
  </si>
  <si>
    <t xml:space="preserve">횟수</t>
  </si>
  <si>
    <t xml:space="preserve">특이사항</t>
  </si>
  <si>
    <t xml:space="preserve">하이푸드</t>
  </si>
  <si>
    <r>
      <rPr>
        <sz val="9"/>
        <color theme="1"/>
        <rFont val="Noto Sans CJK KR"/>
        <family val="2"/>
      </rPr>
      <t xml:space="preserve">본부</t>
    </r>
    <r>
      <rPr>
        <sz val="9"/>
        <color theme="1"/>
        <rFont val="굴림체"/>
        <family val="3"/>
        <charset val="129"/>
      </rPr>
      <t xml:space="preserve">38</t>
    </r>
    <r>
      <rPr>
        <sz val="9"/>
        <color theme="1"/>
        <rFont val="Noto Sans CJK KR"/>
        <family val="2"/>
      </rPr>
      <t xml:space="preserve">만 </t>
    </r>
    <r>
      <rPr>
        <sz val="9"/>
        <color theme="1"/>
        <rFont val="굴림체"/>
        <family val="3"/>
        <charset val="129"/>
      </rPr>
      <t xml:space="preserve">+ </t>
    </r>
    <r>
      <rPr>
        <sz val="9"/>
        <color theme="1"/>
        <rFont val="Noto Sans CJK KR"/>
        <family val="2"/>
      </rPr>
      <t xml:space="preserve">지점 </t>
    </r>
    <r>
      <rPr>
        <sz val="9"/>
        <color theme="1"/>
        <rFont val="굴림체"/>
        <family val="3"/>
        <charset val="129"/>
      </rPr>
      <t xml:space="preserve">37</t>
    </r>
    <r>
      <rPr>
        <sz val="9"/>
        <color theme="1"/>
        <rFont val="Noto Sans CJK KR"/>
        <family val="2"/>
      </rPr>
      <t xml:space="preserve">만 </t>
    </r>
    <r>
      <rPr>
        <sz val="9"/>
        <color theme="1"/>
        <rFont val="굴림체"/>
        <family val="3"/>
        <charset val="129"/>
      </rPr>
      <t xml:space="preserve">+ NDY = 100</t>
    </r>
    <r>
      <rPr>
        <sz val="9"/>
        <color theme="1"/>
        <rFont val="Noto Sans CJK KR"/>
        <family val="2"/>
      </rPr>
      <t xml:space="preserve">만원</t>
    </r>
  </si>
  <si>
    <t xml:space="preserve">샵푸드</t>
  </si>
  <si>
    <t xml:space="preserve">13*5</t>
  </si>
  <si>
    <r>
      <rPr>
        <sz val="9"/>
        <color theme="1"/>
        <rFont val="Noto Sans CJK KR"/>
        <family val="2"/>
      </rPr>
      <t xml:space="preserve">지에스</t>
    </r>
    <r>
      <rPr>
        <sz val="9"/>
        <color theme="1"/>
        <rFont val="굴림체"/>
        <family val="3"/>
        <charset val="129"/>
      </rPr>
      <t xml:space="preserve">25(</t>
    </r>
    <r>
      <rPr>
        <sz val="9"/>
        <color theme="1"/>
        <rFont val="Noto Sans CJK KR"/>
        <family val="2"/>
      </rPr>
      <t xml:space="preserve">진주</t>
    </r>
    <r>
      <rPr>
        <sz val="9"/>
        <color theme="1"/>
        <rFont val="굴림체"/>
        <family val="3"/>
        <charset val="129"/>
      </rPr>
      <t xml:space="preserve">)</t>
    </r>
  </si>
  <si>
    <r>
      <rPr>
        <sz val="9"/>
        <color theme="1"/>
        <rFont val="굴림체"/>
        <family val="3"/>
        <charset val="129"/>
      </rPr>
      <t xml:space="preserve">15</t>
    </r>
    <r>
      <rPr>
        <sz val="9"/>
        <color theme="1"/>
        <rFont val="Noto Sans CJK KR"/>
        <family val="2"/>
      </rPr>
      <t xml:space="preserve">만 </t>
    </r>
    <r>
      <rPr>
        <sz val="9"/>
        <color theme="1"/>
        <rFont val="굴림체"/>
        <family val="3"/>
        <charset val="129"/>
      </rPr>
      <t xml:space="preserve">* </t>
    </r>
    <r>
      <rPr>
        <sz val="9"/>
        <color theme="1"/>
        <rFont val="Noto Sans CJK KR"/>
        <family val="2"/>
      </rPr>
      <t xml:space="preserve">일요일 횟수</t>
    </r>
  </si>
  <si>
    <t xml:space="preserve">반여긴급</t>
  </si>
  <si>
    <r>
      <rPr>
        <sz val="9"/>
        <color theme="1"/>
        <rFont val="Noto Sans CJK KR"/>
        <family val="2"/>
      </rPr>
      <t xml:space="preserve">부산</t>
    </r>
    <r>
      <rPr>
        <sz val="9"/>
        <color theme="1"/>
        <rFont val="굴림체"/>
        <family val="2"/>
        <charset val="129"/>
      </rPr>
      <t xml:space="preserve">(</t>
    </r>
    <r>
      <rPr>
        <sz val="9"/>
        <color theme="1"/>
        <rFont val="Noto Sans CJK KR"/>
        <family val="2"/>
      </rPr>
      <t xml:space="preserve">급식</t>
    </r>
    <r>
      <rPr>
        <sz val="9"/>
        <color theme="1"/>
        <rFont val="굴림체"/>
        <family val="2"/>
        <charset val="129"/>
      </rPr>
      <t xml:space="preserve">)</t>
    </r>
  </si>
  <si>
    <r>
      <rPr>
        <sz val="9"/>
        <color theme="1"/>
        <rFont val="Noto Sans CJK KR"/>
        <family val="2"/>
      </rPr>
      <t xml:space="preserve">월고정 </t>
    </r>
    <r>
      <rPr>
        <sz val="9"/>
        <color theme="1"/>
        <rFont val="굴림체"/>
        <family val="2"/>
        <charset val="129"/>
      </rPr>
      <t xml:space="preserve">80</t>
    </r>
    <r>
      <rPr>
        <sz val="9"/>
        <color theme="1"/>
        <rFont val="Noto Sans CJK KR"/>
        <family val="2"/>
      </rPr>
      <t xml:space="preserve">만 실질적으로 강서대저쪽 많음</t>
    </r>
  </si>
  <si>
    <r>
      <rPr>
        <sz val="9"/>
        <color theme="1"/>
        <rFont val="Noto Sans CJK KR"/>
        <family val="2"/>
      </rPr>
      <t xml:space="preserve">대상청정원유통</t>
    </r>
    <r>
      <rPr>
        <sz val="9"/>
        <color theme="1"/>
        <rFont val="굴림체"/>
        <family val="2"/>
        <charset val="129"/>
      </rPr>
      <t xml:space="preserve">_</t>
    </r>
    <r>
      <rPr>
        <sz val="9"/>
        <color theme="1"/>
        <rFont val="Noto Sans CJK KR"/>
        <family val="2"/>
      </rPr>
      <t xml:space="preserve">신선</t>
    </r>
  </si>
  <si>
    <t xml:space="preserve">경남지점</t>
  </si>
  <si>
    <r>
      <rPr>
        <sz val="9"/>
        <color theme="1"/>
        <rFont val="Noto Sans CJK KR"/>
        <family val="2"/>
      </rPr>
      <t xml:space="preserve">일</t>
    </r>
    <r>
      <rPr>
        <sz val="9"/>
        <color theme="1"/>
        <rFont val="굴림체"/>
        <family val="2"/>
        <charset val="129"/>
      </rPr>
      <t xml:space="preserve">13</t>
    </r>
    <r>
      <rPr>
        <sz val="9"/>
        <color theme="1"/>
        <rFont val="Noto Sans CJK KR"/>
        <family val="2"/>
      </rPr>
      <t xml:space="preserve">만</t>
    </r>
    <r>
      <rPr>
        <sz val="9"/>
        <color theme="1"/>
        <rFont val="굴림체"/>
        <family val="2"/>
        <charset val="129"/>
      </rPr>
      <t xml:space="preserve">, </t>
    </r>
    <r>
      <rPr>
        <sz val="9"/>
        <color theme="1"/>
        <rFont val="Noto Sans CJK KR"/>
        <family val="2"/>
      </rPr>
      <t xml:space="preserve">용차업체 </t>
    </r>
    <r>
      <rPr>
        <sz val="9"/>
        <color theme="1"/>
        <rFont val="굴림체"/>
        <family val="2"/>
        <charset val="129"/>
      </rPr>
      <t xml:space="preserve">16</t>
    </r>
    <r>
      <rPr>
        <sz val="9"/>
        <color theme="1"/>
        <rFont val="Noto Sans CJK KR"/>
        <family val="2"/>
      </rPr>
      <t xml:space="preserve">만원 지급하고 있음</t>
    </r>
  </si>
  <si>
    <t xml:space="preserve">통영지원차량</t>
  </si>
  <si>
    <r>
      <rPr>
        <sz val="9"/>
        <color theme="1"/>
        <rFont val="Noto Sans CJK KR"/>
        <family val="2"/>
      </rPr>
      <t xml:space="preserve">일 </t>
    </r>
    <r>
      <rPr>
        <sz val="9"/>
        <color theme="1"/>
        <rFont val="굴림체"/>
        <family val="2"/>
        <charset val="129"/>
      </rPr>
      <t xml:space="preserve">15</t>
    </r>
    <r>
      <rPr>
        <sz val="9"/>
        <color theme="1"/>
        <rFont val="Noto Sans CJK KR"/>
        <family val="2"/>
      </rPr>
      <t xml:space="preserve">만</t>
    </r>
  </si>
  <si>
    <r>
      <rPr>
        <sz val="9"/>
        <color theme="1"/>
        <rFont val="Noto Sans CJK KR"/>
        <family val="2"/>
      </rPr>
      <t xml:space="preserve">마음푸드</t>
    </r>
    <r>
      <rPr>
        <sz val="9"/>
        <color theme="1"/>
        <rFont val="굴림체"/>
        <family val="2"/>
        <charset val="129"/>
      </rPr>
      <t xml:space="preserve">_</t>
    </r>
    <r>
      <rPr>
        <sz val="9"/>
        <color theme="1"/>
        <rFont val="Noto Sans CJK KR"/>
        <family val="2"/>
      </rPr>
      <t xml:space="preserve">신선</t>
    </r>
  </si>
  <si>
    <t xml:space="preserve">울산</t>
  </si>
  <si>
    <r>
      <rPr>
        <sz val="9"/>
        <color theme="1"/>
        <rFont val="Noto Sans CJK KR"/>
        <family val="2"/>
      </rPr>
      <t xml:space="preserve">일 </t>
    </r>
    <r>
      <rPr>
        <sz val="9"/>
        <color theme="1"/>
        <rFont val="굴림체"/>
        <family val="2"/>
        <charset val="129"/>
      </rPr>
      <t xml:space="preserve">14</t>
    </r>
    <r>
      <rPr>
        <sz val="9"/>
        <color theme="1"/>
        <rFont val="Noto Sans CJK KR"/>
        <family val="2"/>
      </rPr>
      <t xml:space="preserve">만</t>
    </r>
  </si>
  <si>
    <r>
      <rPr>
        <sz val="9"/>
        <color theme="1"/>
        <rFont val="굴림체"/>
        <family val="2"/>
        <charset val="129"/>
      </rPr>
      <t xml:space="preserve">GS</t>
    </r>
    <r>
      <rPr>
        <sz val="9"/>
        <color theme="1"/>
        <rFont val="Noto Sans CJK KR"/>
        <family val="2"/>
      </rPr>
      <t xml:space="preserve">양산</t>
    </r>
    <r>
      <rPr>
        <sz val="9"/>
        <color theme="1"/>
        <rFont val="굴림체"/>
        <family val="2"/>
        <charset val="129"/>
      </rPr>
      <t xml:space="preserve">+GS</t>
    </r>
    <r>
      <rPr>
        <sz val="9"/>
        <color theme="1"/>
        <rFont val="Noto Sans CJK KR"/>
        <family val="2"/>
      </rPr>
      <t xml:space="preserve">부산</t>
    </r>
    <r>
      <rPr>
        <sz val="9"/>
        <color theme="1"/>
        <rFont val="굴림체"/>
        <family val="2"/>
        <charset val="129"/>
      </rPr>
      <t xml:space="preserve">+GS</t>
    </r>
    <r>
      <rPr>
        <sz val="9"/>
        <color theme="1"/>
        <rFont val="Noto Sans CJK KR"/>
        <family val="2"/>
      </rPr>
      <t xml:space="preserve">부산</t>
    </r>
    <r>
      <rPr>
        <sz val="9"/>
        <color theme="1"/>
        <rFont val="굴림체"/>
        <family val="2"/>
        <charset val="129"/>
      </rPr>
      <t xml:space="preserve">(</t>
    </r>
    <r>
      <rPr>
        <sz val="9"/>
        <color theme="1"/>
        <rFont val="Noto Sans CJK KR"/>
        <family val="2"/>
      </rPr>
      <t xml:space="preserve">냉동</t>
    </r>
    <r>
      <rPr>
        <sz val="9"/>
        <color theme="1"/>
        <rFont val="굴림체"/>
        <family val="2"/>
        <charset val="129"/>
      </rPr>
      <t xml:space="preserve">)</t>
    </r>
  </si>
  <si>
    <r>
      <rPr>
        <b val="true"/>
        <sz val="9"/>
        <color theme="1"/>
        <rFont val="굴림체"/>
        <family val="3"/>
        <charset val="129"/>
      </rPr>
      <t xml:space="preserve">GS 26</t>
    </r>
    <r>
      <rPr>
        <b val="true"/>
        <sz val="9"/>
        <color theme="1"/>
        <rFont val="Noto Sans CJK KR"/>
        <family val="2"/>
      </rPr>
      <t xml:space="preserve">일중 </t>
    </r>
    <r>
      <rPr>
        <b val="true"/>
        <sz val="9"/>
        <color theme="1"/>
        <rFont val="굴림체"/>
        <family val="3"/>
        <charset val="129"/>
      </rPr>
      <t xml:space="preserve">2</t>
    </r>
    <r>
      <rPr>
        <b val="true"/>
        <sz val="9"/>
        <color theme="1"/>
        <rFont val="Noto Sans CJK KR"/>
        <family val="2"/>
      </rPr>
      <t xml:space="preserve">회전</t>
    </r>
    <r>
      <rPr>
        <b val="true"/>
        <sz val="9"/>
        <color theme="1"/>
        <rFont val="굴림체"/>
        <family val="3"/>
        <charset val="129"/>
      </rPr>
      <t xml:space="preserve">5</t>
    </r>
    <r>
      <rPr>
        <b val="true"/>
        <sz val="9"/>
        <color theme="1"/>
        <rFont val="Noto Sans CJK KR"/>
        <family val="2"/>
      </rPr>
      <t xml:space="preserve">일 부산냉동 </t>
    </r>
    <r>
      <rPr>
        <b val="true"/>
        <sz val="9"/>
        <color theme="1"/>
        <rFont val="굴림체"/>
        <family val="3"/>
        <charset val="129"/>
      </rPr>
      <t xml:space="preserve">11</t>
    </r>
    <r>
      <rPr>
        <b val="true"/>
        <sz val="9"/>
        <color theme="1"/>
        <rFont val="Noto Sans CJK KR"/>
        <family val="2"/>
      </rPr>
      <t xml:space="preserve">일</t>
    </r>
  </si>
  <si>
    <r>
      <rPr>
        <sz val="9"/>
        <color theme="1"/>
        <rFont val="Noto Sans CJK KR"/>
        <family val="2"/>
      </rPr>
      <t xml:space="preserve">일</t>
    </r>
    <r>
      <rPr>
        <sz val="9"/>
        <color theme="1"/>
        <rFont val="굴림체"/>
        <family val="2"/>
        <charset val="129"/>
      </rPr>
      <t xml:space="preserve">12+3=15</t>
    </r>
    <r>
      <rPr>
        <sz val="9"/>
        <color theme="1"/>
        <rFont val="Noto Sans CJK KR"/>
        <family val="2"/>
      </rPr>
      <t xml:space="preserve">만</t>
    </r>
    <r>
      <rPr>
        <sz val="9"/>
        <color theme="1"/>
        <rFont val="굴림체"/>
        <family val="2"/>
        <charset val="129"/>
      </rPr>
      <t xml:space="preserve">, 2</t>
    </r>
    <r>
      <rPr>
        <sz val="9"/>
        <color theme="1"/>
        <rFont val="Noto Sans CJK KR"/>
        <family val="2"/>
      </rPr>
      <t xml:space="preserve">회전 </t>
    </r>
    <r>
      <rPr>
        <sz val="9"/>
        <color theme="1"/>
        <rFont val="굴림체"/>
        <family val="2"/>
        <charset val="129"/>
      </rPr>
      <t xml:space="preserve">12</t>
    </r>
    <r>
      <rPr>
        <sz val="9"/>
        <color theme="1"/>
        <rFont val="Noto Sans CJK KR"/>
        <family val="2"/>
      </rPr>
      <t xml:space="preserve">만추가 부산냉동</t>
    </r>
    <r>
      <rPr>
        <sz val="9"/>
        <color theme="1"/>
        <rFont val="굴림체"/>
        <family val="2"/>
        <charset val="129"/>
      </rPr>
      <t xml:space="preserve">3</t>
    </r>
    <r>
      <rPr>
        <sz val="9"/>
        <color theme="1"/>
        <rFont val="Noto Sans CJK KR"/>
        <family val="2"/>
      </rPr>
      <t xml:space="preserve">만</t>
    </r>
  </si>
  <si>
    <r>
      <rPr>
        <sz val="9"/>
        <color theme="1"/>
        <rFont val="Noto Sans CJK KR"/>
        <family val="2"/>
      </rPr>
      <t xml:space="preserve">창원 반림사파남양 </t>
    </r>
    <r>
      <rPr>
        <sz val="9"/>
        <color theme="1"/>
        <rFont val="굴림체"/>
        <family val="2"/>
        <charset val="129"/>
      </rPr>
      <t xml:space="preserve">3</t>
    </r>
    <r>
      <rPr>
        <sz val="9"/>
        <color theme="1"/>
        <rFont val="Noto Sans CJK KR"/>
        <family val="2"/>
      </rPr>
      <t xml:space="preserve">개 농협</t>
    </r>
  </si>
  <si>
    <t xml:space="preserve">다시 한번 확인필요</t>
  </si>
  <si>
    <r>
      <rPr>
        <sz val="9"/>
        <color theme="1"/>
        <rFont val="Noto Sans CJK KR"/>
        <family val="2"/>
      </rPr>
      <t xml:space="preserve">마켓컬리</t>
    </r>
    <r>
      <rPr>
        <sz val="9"/>
        <color theme="1"/>
        <rFont val="굴림체"/>
        <family val="2"/>
        <charset val="129"/>
      </rPr>
      <t xml:space="preserve">_</t>
    </r>
    <r>
      <rPr>
        <sz val="9"/>
        <color theme="1"/>
        <rFont val="Noto Sans CJK KR"/>
        <family val="2"/>
      </rPr>
      <t xml:space="preserve">창원저온</t>
    </r>
  </si>
  <si>
    <r>
      <rPr>
        <sz val="9"/>
        <color theme="1"/>
        <rFont val="Noto Sans CJK KR"/>
        <family val="2"/>
      </rPr>
      <t xml:space="preserve">일 </t>
    </r>
    <r>
      <rPr>
        <sz val="9"/>
        <color theme="1"/>
        <rFont val="굴림체"/>
        <family val="2"/>
        <charset val="129"/>
      </rPr>
      <t xml:space="preserve">16</t>
    </r>
    <r>
      <rPr>
        <sz val="9"/>
        <color theme="1"/>
        <rFont val="Noto Sans CJK KR"/>
        <family val="2"/>
      </rPr>
      <t xml:space="preserve">만</t>
    </r>
  </si>
  <si>
    <r>
      <rPr>
        <sz val="9"/>
        <color theme="1"/>
        <rFont val="Noto Sans CJK KR"/>
        <family val="2"/>
      </rPr>
      <t xml:space="preserve">마켓컬리</t>
    </r>
    <r>
      <rPr>
        <sz val="9"/>
        <color theme="1"/>
        <rFont val="굴림체"/>
        <family val="2"/>
        <charset val="129"/>
      </rPr>
      <t xml:space="preserve">_</t>
    </r>
    <r>
      <rPr>
        <sz val="9"/>
        <color theme="1"/>
        <rFont val="Noto Sans CJK KR"/>
        <family val="2"/>
      </rPr>
      <t xml:space="preserve">창원</t>
    </r>
    <r>
      <rPr>
        <sz val="9"/>
        <color theme="1"/>
        <rFont val="굴림체"/>
        <family val="2"/>
        <charset val="129"/>
      </rPr>
      <t xml:space="preserve">(</t>
    </r>
    <r>
      <rPr>
        <sz val="9"/>
        <color theme="1"/>
        <rFont val="Noto Sans CJK KR"/>
        <family val="2"/>
      </rPr>
      <t xml:space="preserve">냉동</t>
    </r>
    <r>
      <rPr>
        <sz val="9"/>
        <color theme="1"/>
        <rFont val="굴림체"/>
        <family val="2"/>
        <charset val="129"/>
      </rPr>
      <t xml:space="preserve">)</t>
    </r>
  </si>
  <si>
    <t xml:space="preserve">긴급및직송요청 청구</t>
  </si>
  <si>
    <r>
      <rPr>
        <sz val="9"/>
        <color theme="1"/>
        <rFont val="굴림체"/>
        <family val="2"/>
        <charset val="129"/>
      </rPr>
      <t xml:space="preserve">* </t>
    </r>
    <r>
      <rPr>
        <sz val="9"/>
        <color theme="1"/>
        <rFont val="Noto Sans CJK KR"/>
        <family val="2"/>
      </rPr>
      <t xml:space="preserve">용차비 청구 확인</t>
    </r>
  </si>
  <si>
    <r>
      <rPr>
        <sz val="9"/>
        <color theme="1"/>
        <rFont val="Noto Sans CJK KR"/>
        <family val="2"/>
      </rPr>
      <t xml:space="preserve">맘이오푸드</t>
    </r>
    <r>
      <rPr>
        <sz val="9"/>
        <color theme="1"/>
        <rFont val="굴림체"/>
        <family val="2"/>
        <charset val="129"/>
      </rPr>
      <t xml:space="preserve">-</t>
    </r>
    <r>
      <rPr>
        <sz val="9"/>
        <color theme="1"/>
        <rFont val="Noto Sans CJK KR"/>
        <family val="2"/>
      </rPr>
      <t xml:space="preserve">긴급</t>
    </r>
  </si>
  <si>
    <t xml:space="preserve">26 31 2 5 8 14 16 22</t>
  </si>
  <si>
    <r>
      <rPr>
        <sz val="9"/>
        <color theme="1"/>
        <rFont val="굴림체"/>
        <family val="2"/>
        <charset val="129"/>
      </rPr>
      <t xml:space="preserve">(</t>
    </r>
    <r>
      <rPr>
        <sz val="9"/>
        <color theme="1"/>
        <rFont val="Noto Sans CJK KR"/>
        <family val="2"/>
      </rPr>
      <t xml:space="preserve">주</t>
    </r>
    <r>
      <rPr>
        <sz val="9"/>
        <color theme="1"/>
        <rFont val="굴림체"/>
        <family val="2"/>
        <charset val="129"/>
      </rPr>
      <t xml:space="preserve">)</t>
    </r>
    <r>
      <rPr>
        <sz val="9"/>
        <color theme="1"/>
        <rFont val="Noto Sans CJK KR"/>
        <family val="2"/>
      </rPr>
      <t xml:space="preserve">비에스</t>
    </r>
    <r>
      <rPr>
        <sz val="9"/>
        <color theme="1"/>
        <rFont val="굴림체"/>
        <family val="2"/>
        <charset val="129"/>
      </rPr>
      <t xml:space="preserve">_</t>
    </r>
    <r>
      <rPr>
        <sz val="9"/>
        <color theme="1"/>
        <rFont val="Noto Sans CJK KR"/>
        <family val="2"/>
      </rPr>
      <t xml:space="preserve">서울유통</t>
    </r>
    <r>
      <rPr>
        <sz val="9"/>
        <color theme="1"/>
        <rFont val="굴림체"/>
        <family val="2"/>
        <charset val="129"/>
      </rPr>
      <t xml:space="preserve">-</t>
    </r>
    <r>
      <rPr>
        <sz val="9"/>
        <color theme="1"/>
        <rFont val="Noto Sans CJK KR"/>
        <family val="2"/>
      </rPr>
      <t xml:space="preserve">긴급</t>
    </r>
  </si>
  <si>
    <r>
      <rPr>
        <sz val="9"/>
        <color theme="1"/>
        <rFont val="Noto Sans CJK KR"/>
        <family val="2"/>
      </rPr>
      <t xml:space="preserve">푸드메이트</t>
    </r>
    <r>
      <rPr>
        <sz val="9"/>
        <color theme="1"/>
        <rFont val="굴림체"/>
        <family val="2"/>
        <charset val="129"/>
      </rPr>
      <t xml:space="preserve">-</t>
    </r>
    <r>
      <rPr>
        <sz val="9"/>
        <color theme="1"/>
        <rFont val="Noto Sans CJK KR"/>
        <family val="2"/>
      </rPr>
      <t xml:space="preserve">긴급</t>
    </r>
  </si>
  <si>
    <r>
      <rPr>
        <sz val="9"/>
        <color theme="1"/>
        <rFont val="Noto Sans CJK KR"/>
        <family val="2"/>
      </rPr>
      <t xml:space="preserve">우린푸드</t>
    </r>
    <r>
      <rPr>
        <sz val="9"/>
        <color theme="1"/>
        <rFont val="굴림체"/>
        <family val="2"/>
        <charset val="129"/>
      </rPr>
      <t xml:space="preserve">-</t>
    </r>
    <r>
      <rPr>
        <sz val="9"/>
        <color theme="1"/>
        <rFont val="Noto Sans CJK KR"/>
        <family val="2"/>
      </rPr>
      <t xml:space="preserve">긴급</t>
    </r>
  </si>
  <si>
    <t xml:space="preserve">29 6 20</t>
  </si>
  <si>
    <r>
      <rPr>
        <sz val="9"/>
        <color theme="1"/>
        <rFont val="Noto Sans CJK KR"/>
        <family val="2"/>
      </rPr>
      <t xml:space="preserve">굿모닝푸드</t>
    </r>
    <r>
      <rPr>
        <sz val="9"/>
        <color theme="1"/>
        <rFont val="굴림체"/>
        <family val="2"/>
        <charset val="129"/>
      </rPr>
      <t xml:space="preserve">(</t>
    </r>
    <r>
      <rPr>
        <sz val="9"/>
        <color theme="1"/>
        <rFont val="Noto Sans CJK KR"/>
        <family val="2"/>
      </rPr>
      <t xml:space="preserve">창고</t>
    </r>
    <r>
      <rPr>
        <sz val="9"/>
        <color theme="1"/>
        <rFont val="굴림체"/>
        <family val="2"/>
        <charset val="129"/>
      </rPr>
      <t xml:space="preserve">)</t>
    </r>
  </si>
  <si>
    <r>
      <rPr>
        <sz val="9"/>
        <color theme="1"/>
        <rFont val="Noto Sans CJK KR"/>
        <family val="2"/>
      </rPr>
      <t xml:space="preserve">밀양물산</t>
    </r>
    <r>
      <rPr>
        <sz val="9"/>
        <color theme="1"/>
        <rFont val="굴림체"/>
        <family val="2"/>
        <charset val="129"/>
      </rPr>
      <t xml:space="preserve">(</t>
    </r>
    <r>
      <rPr>
        <sz val="9"/>
        <color theme="1"/>
        <rFont val="Noto Sans CJK KR"/>
        <family val="2"/>
      </rPr>
      <t xml:space="preserve">주</t>
    </r>
    <r>
      <rPr>
        <sz val="9"/>
        <color theme="1"/>
        <rFont val="굴림체"/>
        <family val="2"/>
        <charset val="129"/>
      </rPr>
      <t xml:space="preserve">)-</t>
    </r>
    <r>
      <rPr>
        <sz val="9"/>
        <color theme="1"/>
        <rFont val="Noto Sans CJK KR"/>
        <family val="2"/>
      </rPr>
      <t xml:space="preserve">긴급</t>
    </r>
  </si>
  <si>
    <r>
      <rPr>
        <sz val="9"/>
        <color theme="1"/>
        <rFont val="Noto Sans CJK KR"/>
        <family val="2"/>
      </rPr>
      <t xml:space="preserve">천일유통</t>
    </r>
    <r>
      <rPr>
        <sz val="9"/>
        <color theme="1"/>
        <rFont val="굴림체"/>
        <family val="2"/>
        <charset val="129"/>
      </rPr>
      <t xml:space="preserve">(</t>
    </r>
    <r>
      <rPr>
        <sz val="9"/>
        <color theme="1"/>
        <rFont val="Noto Sans CJK KR"/>
        <family val="2"/>
      </rPr>
      <t xml:space="preserve">창고</t>
    </r>
    <r>
      <rPr>
        <sz val="9"/>
        <color theme="1"/>
        <rFont val="굴림체"/>
        <family val="2"/>
        <charset val="129"/>
      </rPr>
      <t xml:space="preserve">)-</t>
    </r>
    <r>
      <rPr>
        <sz val="9"/>
        <color theme="1"/>
        <rFont val="Noto Sans CJK KR"/>
        <family val="2"/>
      </rPr>
      <t xml:space="preserve">긴급</t>
    </r>
  </si>
  <si>
    <r>
      <rPr>
        <sz val="9"/>
        <color theme="1"/>
        <rFont val="Noto Sans CJK KR"/>
        <family val="2"/>
      </rPr>
      <t xml:space="preserve">양산시학교급식삭자재협동조합</t>
    </r>
    <r>
      <rPr>
        <sz val="9"/>
        <color theme="1"/>
        <rFont val="굴림체"/>
        <family val="2"/>
        <charset val="129"/>
      </rPr>
      <t xml:space="preserve">-</t>
    </r>
    <r>
      <rPr>
        <sz val="9"/>
        <color theme="1"/>
        <rFont val="Noto Sans CJK KR"/>
        <family val="2"/>
      </rPr>
      <t xml:space="preserve">긴급</t>
    </r>
  </si>
  <si>
    <r>
      <rPr>
        <sz val="9"/>
        <color theme="1"/>
        <rFont val="굴림체"/>
        <family val="2"/>
        <charset val="129"/>
      </rPr>
      <t xml:space="preserve">(</t>
    </r>
    <r>
      <rPr>
        <sz val="9"/>
        <color theme="1"/>
        <rFont val="Noto Sans CJK KR"/>
        <family val="2"/>
      </rPr>
      <t xml:space="preserve">주</t>
    </r>
    <r>
      <rPr>
        <sz val="9"/>
        <color theme="1"/>
        <rFont val="굴림체"/>
        <family val="2"/>
        <charset val="129"/>
      </rPr>
      <t xml:space="preserve">)</t>
    </r>
    <r>
      <rPr>
        <sz val="9"/>
        <color theme="1"/>
        <rFont val="Noto Sans CJK KR"/>
        <family val="2"/>
      </rPr>
      <t xml:space="preserve">푸드메이트</t>
    </r>
    <r>
      <rPr>
        <sz val="9"/>
        <color theme="1"/>
        <rFont val="굴림체"/>
        <family val="2"/>
        <charset val="129"/>
      </rPr>
      <t xml:space="preserve">-</t>
    </r>
    <r>
      <rPr>
        <sz val="9"/>
        <color theme="1"/>
        <rFont val="Noto Sans CJK KR"/>
        <family val="2"/>
      </rPr>
      <t xml:space="preserve">긴급</t>
    </r>
    <r>
      <rPr>
        <sz val="9"/>
        <color theme="1"/>
        <rFont val="굴림체"/>
        <family val="2"/>
        <charset val="129"/>
      </rPr>
      <t xml:space="preserve">(</t>
    </r>
    <r>
      <rPr>
        <sz val="9"/>
        <color theme="1"/>
        <rFont val="Noto Sans CJK KR"/>
        <family val="2"/>
      </rPr>
      <t xml:space="preserve">비밀번호 </t>
    </r>
    <r>
      <rPr>
        <sz val="9"/>
        <color theme="1"/>
        <rFont val="굴림체"/>
        <family val="2"/>
        <charset val="129"/>
      </rPr>
      <t xml:space="preserve">4164*)</t>
    </r>
  </si>
  <si>
    <r>
      <rPr>
        <sz val="9"/>
        <color theme="1"/>
        <rFont val="Noto Sans CJK KR"/>
        <family val="2"/>
      </rPr>
      <t xml:space="preserve">도하유통</t>
    </r>
    <r>
      <rPr>
        <sz val="9"/>
        <color theme="1"/>
        <rFont val="굴림체"/>
        <family val="2"/>
        <charset val="129"/>
      </rPr>
      <t xml:space="preserve">-</t>
    </r>
    <r>
      <rPr>
        <sz val="9"/>
        <color theme="1"/>
        <rFont val="Noto Sans CJK KR"/>
        <family val="2"/>
      </rPr>
      <t xml:space="preserve">긴급</t>
    </r>
  </si>
  <si>
    <r>
      <rPr>
        <sz val="9"/>
        <color theme="1"/>
        <rFont val="Noto Sans CJK KR"/>
        <family val="2"/>
      </rPr>
      <t xml:space="preserve">베스트푸드</t>
    </r>
    <r>
      <rPr>
        <sz val="9"/>
        <color theme="1"/>
        <rFont val="굴림체"/>
        <family val="2"/>
        <charset val="129"/>
      </rPr>
      <t xml:space="preserve">-</t>
    </r>
    <r>
      <rPr>
        <sz val="9"/>
        <color theme="1"/>
        <rFont val="Noto Sans CJK KR"/>
        <family val="2"/>
      </rPr>
      <t xml:space="preserve">긴급</t>
    </r>
  </si>
  <si>
    <r>
      <rPr>
        <sz val="9"/>
        <color theme="1"/>
        <rFont val="Noto Sans CJK KR"/>
        <family val="2"/>
      </rPr>
      <t xml:space="preserve">우린푸드</t>
    </r>
    <r>
      <rPr>
        <sz val="9"/>
        <color theme="1"/>
        <rFont val="굴림체"/>
        <family val="2"/>
        <charset val="129"/>
      </rPr>
      <t xml:space="preserve">(</t>
    </r>
    <r>
      <rPr>
        <sz val="9"/>
        <color theme="1"/>
        <rFont val="Noto Sans CJK KR"/>
        <family val="2"/>
      </rPr>
      <t xml:space="preserve">창원</t>
    </r>
    <r>
      <rPr>
        <sz val="9"/>
        <color theme="1"/>
        <rFont val="굴림체"/>
        <family val="2"/>
        <charset val="129"/>
      </rPr>
      <t xml:space="preserve">)-</t>
    </r>
    <r>
      <rPr>
        <sz val="9"/>
        <color theme="1"/>
        <rFont val="Noto Sans CJK KR"/>
        <family val="2"/>
      </rPr>
      <t xml:space="preserve">긴급</t>
    </r>
  </si>
  <si>
    <t xml:space="preserve">★싱싱마트</t>
  </si>
  <si>
    <r>
      <rPr>
        <sz val="9"/>
        <color theme="1"/>
        <rFont val="굴림체"/>
        <family val="3"/>
        <charset val="129"/>
      </rPr>
      <t xml:space="preserve">9</t>
    </r>
    <r>
      <rPr>
        <sz val="9"/>
        <color theme="1"/>
        <rFont val="Noto Sans CJK KR"/>
        <family val="2"/>
      </rPr>
      <t xml:space="preserve">일</t>
    </r>
  </si>
  <si>
    <t xml:space="preserve">★싱싱플러스마트</t>
  </si>
  <si>
    <r>
      <rPr>
        <sz val="9"/>
        <color theme="1"/>
        <rFont val="굴림체"/>
        <family val="3"/>
        <charset val="129"/>
      </rPr>
      <t xml:space="preserve">7</t>
    </r>
    <r>
      <rPr>
        <sz val="9"/>
        <color theme="1"/>
        <rFont val="Noto Sans CJK KR"/>
        <family val="2"/>
      </rPr>
      <t xml:space="preserve">일</t>
    </r>
  </si>
  <si>
    <r>
      <rPr>
        <sz val="9"/>
        <color theme="1"/>
        <rFont val="Noto Sans CJK KR"/>
        <family val="2"/>
      </rPr>
      <t xml:space="preserve">★창원축구센터 밤 </t>
    </r>
    <r>
      <rPr>
        <sz val="9"/>
        <color theme="1"/>
        <rFont val="굴림체"/>
        <family val="2"/>
        <charset val="129"/>
      </rPr>
      <t xml:space="preserve">10</t>
    </r>
    <r>
      <rPr>
        <sz val="9"/>
        <color theme="1"/>
        <rFont val="Noto Sans CJK KR"/>
        <family val="2"/>
      </rPr>
      <t xml:space="preserve">시 이후</t>
    </r>
  </si>
  <si>
    <r>
      <rPr>
        <sz val="9"/>
        <color theme="1"/>
        <rFont val="굴림체"/>
        <family val="3"/>
        <charset val="129"/>
      </rPr>
      <t xml:space="preserve">16 </t>
    </r>
    <r>
      <rPr>
        <sz val="9"/>
        <color theme="1"/>
        <rFont val="Noto Sans CJK KR"/>
        <family val="2"/>
      </rPr>
      <t xml:space="preserve">야간 </t>
    </r>
    <r>
      <rPr>
        <sz val="9"/>
        <color theme="1"/>
        <rFont val="굴림체"/>
        <family val="3"/>
        <charset val="129"/>
      </rPr>
      <t xml:space="preserve">10</t>
    </r>
    <r>
      <rPr>
        <sz val="9"/>
        <color theme="1"/>
        <rFont val="Noto Sans CJK KR"/>
        <family val="2"/>
      </rPr>
      <t xml:space="preserve">시 이후 배송</t>
    </r>
  </si>
  <si>
    <t xml:space="preserve">★삼육오</t>
  </si>
  <si>
    <r>
      <rPr>
        <sz val="9"/>
        <color theme="1"/>
        <rFont val="굴림체"/>
        <family val="3"/>
        <charset val="129"/>
      </rPr>
      <t xml:space="preserve">14 </t>
    </r>
    <r>
      <rPr>
        <sz val="9"/>
        <color theme="1"/>
        <rFont val="Noto Sans CJK KR"/>
        <family val="2"/>
      </rPr>
      <t xml:space="preserve">오후 배송</t>
    </r>
  </si>
  <si>
    <r>
      <rPr>
        <sz val="9"/>
        <color theme="1"/>
        <rFont val="Noto Sans CJK KR"/>
        <family val="2"/>
      </rPr>
      <t xml:space="preserve">국정푸드</t>
    </r>
    <r>
      <rPr>
        <sz val="9"/>
        <color theme="1"/>
        <rFont val="굴림체"/>
        <family val="2"/>
        <charset val="129"/>
      </rPr>
      <t xml:space="preserve">(</t>
    </r>
    <r>
      <rPr>
        <sz val="9"/>
        <color theme="1"/>
        <rFont val="Noto Sans CJK KR"/>
        <family val="2"/>
      </rPr>
      <t xml:space="preserve">주</t>
    </r>
    <r>
      <rPr>
        <sz val="9"/>
        <color theme="1"/>
        <rFont val="굴림체"/>
        <family val="2"/>
        <charset val="129"/>
      </rPr>
      <t xml:space="preserve">)-</t>
    </r>
    <r>
      <rPr>
        <sz val="9"/>
        <color theme="1"/>
        <rFont val="Noto Sans CJK KR"/>
        <family val="2"/>
      </rPr>
      <t xml:space="preserve">긴급</t>
    </r>
  </si>
  <si>
    <t xml:space="preserve">코스트코 직송 청구</t>
  </si>
  <si>
    <t xml:space="preserve">30 2 3</t>
  </si>
  <si>
    <t xml:space="preserve">11 11 11</t>
  </si>
  <si>
    <r>
      <rPr>
        <sz val="9"/>
        <color theme="1"/>
        <rFont val="굴림체"/>
        <family val="2"/>
        <charset val="129"/>
      </rPr>
      <t xml:space="preserve">★CJ</t>
    </r>
    <r>
      <rPr>
        <sz val="9"/>
        <color theme="1"/>
        <rFont val="Noto Sans CJK KR"/>
        <family val="2"/>
      </rPr>
      <t xml:space="preserve">양산센터</t>
    </r>
  </si>
  <si>
    <r>
      <rPr>
        <sz val="9"/>
        <color theme="1"/>
        <rFont val="굴림체"/>
        <family val="2"/>
        <charset val="129"/>
      </rPr>
      <t xml:space="preserve">3</t>
    </r>
    <r>
      <rPr>
        <sz val="9"/>
        <color theme="1"/>
        <rFont val="Noto Sans CJK KR"/>
        <family val="2"/>
      </rPr>
      <t xml:space="preserve">회중</t>
    </r>
    <r>
      <rPr>
        <sz val="9"/>
        <color theme="1"/>
        <rFont val="굴림체"/>
        <family val="2"/>
        <charset val="129"/>
      </rPr>
      <t xml:space="preserve">2</t>
    </r>
    <r>
      <rPr>
        <sz val="9"/>
        <color theme="1"/>
        <rFont val="Noto Sans CJK KR"/>
        <family val="2"/>
      </rPr>
      <t xml:space="preserve">회 청구</t>
    </r>
  </si>
  <si>
    <t xml:space="preserve">회송 비용 청구</t>
  </si>
  <si>
    <r>
      <rPr>
        <sz val="9"/>
        <color theme="1"/>
        <rFont val="Noto Sans CJK KR"/>
        <family val="2"/>
      </rPr>
      <t xml:space="preserve">회송비용 기본</t>
    </r>
    <r>
      <rPr>
        <sz val="9"/>
        <color theme="1"/>
        <rFont val="굴림체"/>
        <family val="3"/>
        <charset val="129"/>
      </rPr>
      <t xml:space="preserve">8</t>
    </r>
    <r>
      <rPr>
        <sz val="9"/>
        <color theme="1"/>
        <rFont val="Noto Sans CJK KR"/>
        <family val="2"/>
      </rPr>
      <t xml:space="preserve">만 </t>
    </r>
    <r>
      <rPr>
        <sz val="9"/>
        <color theme="1"/>
        <rFont val="굴림체"/>
        <family val="3"/>
        <charset val="129"/>
      </rPr>
      <t xml:space="preserve">10</t>
    </r>
    <r>
      <rPr>
        <sz val="9"/>
        <color theme="1"/>
        <rFont val="Noto Sans CJK KR"/>
        <family val="2"/>
      </rPr>
      <t xml:space="preserve">박스 미만 어느정도 양 넘어가면 차량 비용 청구</t>
    </r>
  </si>
  <si>
    <t xml:space="preserve">회송일</t>
  </si>
  <si>
    <t xml:space="preserve">배송처</t>
  </si>
  <si>
    <t xml:space="preserve">비고</t>
  </si>
  <si>
    <t xml:space="preserve">이마트사상</t>
  </si>
  <si>
    <t xml:space="preserve">코스트코 부산점</t>
  </si>
  <si>
    <t xml:space="preserve">샬롬푸드</t>
  </si>
  <si>
    <r>
      <rPr>
        <b val="true"/>
        <sz val="12"/>
        <color theme="1"/>
        <rFont val="굴림체"/>
        <family val="3"/>
        <charset val="129"/>
      </rPr>
      <t xml:space="preserve">25</t>
    </r>
    <r>
      <rPr>
        <b val="true"/>
        <sz val="12"/>
        <color theme="1"/>
        <rFont val="Noto Sans CJK KR"/>
        <family val="2"/>
      </rPr>
      <t xml:space="preserve">일까지 마감함</t>
    </r>
  </si>
  <si>
    <r>
      <rPr>
        <sz val="9"/>
        <color theme="1"/>
        <rFont val="Noto Sans CJK KR"/>
        <family val="2"/>
      </rPr>
      <t xml:space="preserve">월</t>
    </r>
    <r>
      <rPr>
        <sz val="9"/>
        <color theme="1"/>
        <rFont val="굴림체"/>
        <family val="2"/>
        <charset val="129"/>
      </rPr>
      <t xml:space="preserve">~</t>
    </r>
    <r>
      <rPr>
        <sz val="9"/>
        <color theme="1"/>
        <rFont val="Noto Sans CJK KR"/>
        <family val="2"/>
      </rPr>
      <t xml:space="preserve">금</t>
    </r>
  </si>
  <si>
    <r>
      <rPr>
        <b val="true"/>
        <sz val="9"/>
        <color theme="1"/>
        <rFont val="Noto Sans CJK KR"/>
        <family val="2"/>
      </rPr>
      <t xml:space="preserve">고정청구 </t>
    </r>
    <r>
      <rPr>
        <b val="true"/>
        <sz val="9"/>
        <color theme="1"/>
        <rFont val="굴림체"/>
        <family val="3"/>
        <charset val="129"/>
      </rPr>
      <t xml:space="preserve">1</t>
    </r>
  </si>
  <si>
    <r>
      <rPr>
        <sz val="9"/>
        <color theme="1"/>
        <rFont val="Noto Sans CJK KR"/>
        <family val="2"/>
      </rPr>
      <t xml:space="preserve">월</t>
    </r>
    <r>
      <rPr>
        <sz val="9"/>
        <color theme="1"/>
        <rFont val="굴림체"/>
        <family val="2"/>
        <charset val="129"/>
      </rPr>
      <t xml:space="preserve">~</t>
    </r>
    <r>
      <rPr>
        <sz val="9"/>
        <color theme="1"/>
        <rFont val="Noto Sans CJK KR"/>
        <family val="2"/>
      </rPr>
      <t xml:space="preserve">토</t>
    </r>
  </si>
  <si>
    <t xml:space="preserve">학교 직송청구</t>
  </si>
  <si>
    <r>
      <rPr>
        <sz val="9"/>
        <color theme="1"/>
        <rFont val="Noto Sans CJK KR"/>
        <family val="2"/>
      </rPr>
      <t xml:space="preserve">직송 회당</t>
    </r>
    <r>
      <rPr>
        <sz val="9"/>
        <color theme="1"/>
        <rFont val="굴림체"/>
        <family val="2"/>
        <charset val="129"/>
      </rPr>
      <t xml:space="preserve">3</t>
    </r>
    <r>
      <rPr>
        <sz val="9"/>
        <color theme="1"/>
        <rFont val="Noto Sans CJK KR"/>
        <family val="2"/>
      </rPr>
      <t xml:space="preserve">만 특이지역 추가</t>
    </r>
    <r>
      <rPr>
        <sz val="9"/>
        <color theme="1"/>
        <rFont val="굴림체"/>
        <family val="2"/>
        <charset val="129"/>
      </rPr>
      <t xml:space="preserve">.</t>
    </r>
  </si>
  <si>
    <t xml:space="preserve">납품일</t>
  </si>
  <si>
    <r>
      <rPr>
        <b val="true"/>
        <sz val="14"/>
        <color theme="1"/>
        <rFont val="굴림체"/>
        <family val="3"/>
        <charset val="129"/>
      </rPr>
      <t xml:space="preserve">2025</t>
    </r>
    <r>
      <rPr>
        <b val="true"/>
        <sz val="14"/>
        <color theme="1"/>
        <rFont val="Noto Sans CJK KR"/>
        <family val="2"/>
      </rPr>
      <t xml:space="preserve">년 </t>
    </r>
    <r>
      <rPr>
        <b val="true"/>
        <sz val="14"/>
        <color theme="1"/>
        <rFont val="굴림체"/>
        <family val="3"/>
        <charset val="129"/>
      </rPr>
      <t xml:space="preserve">12</t>
    </r>
    <r>
      <rPr>
        <b val="true"/>
        <sz val="14"/>
        <color theme="1"/>
        <rFont val="Noto Sans CJK KR"/>
        <family val="2"/>
      </rPr>
      <t xml:space="preserve">월</t>
    </r>
  </si>
  <si>
    <r>
      <rPr>
        <sz val="9"/>
        <color theme="1"/>
        <rFont val="굴림체"/>
        <family val="2"/>
        <charset val="129"/>
      </rPr>
      <t xml:space="preserve">11</t>
    </r>
    <r>
      <rPr>
        <sz val="9"/>
        <color theme="1"/>
        <rFont val="Noto Sans CJK KR"/>
        <family val="2"/>
      </rPr>
      <t xml:space="preserve">월</t>
    </r>
    <r>
      <rPr>
        <sz val="9"/>
        <color theme="1"/>
        <rFont val="굴림체"/>
        <family val="2"/>
        <charset val="129"/>
      </rPr>
      <t xml:space="preserve">26 ~ 12</t>
    </r>
    <r>
      <rPr>
        <sz val="9"/>
        <color theme="1"/>
        <rFont val="Noto Sans CJK KR"/>
        <family val="2"/>
      </rPr>
      <t xml:space="preserve">월</t>
    </r>
    <r>
      <rPr>
        <sz val="9"/>
        <color theme="1"/>
        <rFont val="굴림체"/>
        <family val="2"/>
        <charset val="129"/>
      </rPr>
      <t xml:space="preserve">25</t>
    </r>
    <r>
      <rPr>
        <sz val="9"/>
        <color theme="1"/>
        <rFont val="Noto Sans CJK KR"/>
        <family val="2"/>
      </rPr>
      <t xml:space="preserve">일</t>
    </r>
  </si>
  <si>
    <r>
      <rPr>
        <b val="true"/>
        <sz val="9"/>
        <color theme="1"/>
        <rFont val="굴림체"/>
        <family val="3"/>
        <charset val="129"/>
      </rPr>
      <t xml:space="preserve">GS 26</t>
    </r>
    <r>
      <rPr>
        <b val="true"/>
        <sz val="9"/>
        <color theme="1"/>
        <rFont val="Noto Sans CJK KR"/>
        <family val="2"/>
      </rPr>
      <t xml:space="preserve">일중 </t>
    </r>
    <r>
      <rPr>
        <b val="true"/>
        <sz val="9"/>
        <color theme="1"/>
        <rFont val="굴림체"/>
        <family val="3"/>
        <charset val="129"/>
      </rPr>
      <t xml:space="preserve">2</t>
    </r>
    <r>
      <rPr>
        <b val="true"/>
        <sz val="9"/>
        <color theme="1"/>
        <rFont val="Noto Sans CJK KR"/>
        <family val="2"/>
      </rPr>
      <t xml:space="preserve">회전</t>
    </r>
    <r>
      <rPr>
        <b val="true"/>
        <sz val="9"/>
        <color theme="1"/>
        <rFont val="굴림체"/>
        <family val="3"/>
        <charset val="129"/>
      </rPr>
      <t xml:space="preserve">2</t>
    </r>
    <r>
      <rPr>
        <b val="true"/>
        <sz val="9"/>
        <color theme="1"/>
        <rFont val="Noto Sans CJK KR"/>
        <family val="2"/>
      </rPr>
      <t xml:space="preserve">일 부산냉동 </t>
    </r>
    <r>
      <rPr>
        <b val="true"/>
        <sz val="9"/>
        <color theme="1"/>
        <rFont val="굴림체"/>
        <family val="3"/>
        <charset val="129"/>
      </rPr>
      <t xml:space="preserve">18</t>
    </r>
    <r>
      <rPr>
        <b val="true"/>
        <sz val="9"/>
        <color theme="1"/>
        <rFont val="Noto Sans CJK KR"/>
        <family val="2"/>
      </rPr>
      <t xml:space="preserve">일</t>
    </r>
  </si>
  <si>
    <t xml:space="preserve">1 17</t>
  </si>
  <si>
    <t xml:space="preserve">8 16 26</t>
  </si>
  <si>
    <r>
      <rPr>
        <sz val="9"/>
        <color theme="1"/>
        <rFont val="굴림체"/>
        <family val="3"/>
        <charset val="129"/>
      </rPr>
      <t xml:space="preserve">1</t>
    </r>
    <r>
      <rPr>
        <sz val="9"/>
        <color theme="1"/>
        <rFont val="Noto Sans CJK KR"/>
        <family val="2"/>
      </rPr>
      <t xml:space="preserve">회만 청구</t>
    </r>
  </si>
  <si>
    <t xml:space="preserve">거제복지관 인건비</t>
  </si>
  <si>
    <r>
      <rPr>
        <sz val="9"/>
        <color theme="1"/>
        <rFont val="굴림체"/>
        <family val="3"/>
        <charset val="129"/>
      </rPr>
      <t xml:space="preserve">2</t>
    </r>
    <r>
      <rPr>
        <sz val="9"/>
        <color theme="1"/>
        <rFont val="Noto Sans CJK KR"/>
        <family val="2"/>
      </rPr>
      <t xml:space="preserve">명분 청구</t>
    </r>
  </si>
  <si>
    <r>
      <rPr>
        <sz val="9"/>
        <color theme="1"/>
        <rFont val="Noto Sans CJK KR"/>
        <family val="2"/>
      </rPr>
      <t xml:space="preserve">해린</t>
    </r>
    <r>
      <rPr>
        <sz val="9"/>
        <color theme="1"/>
        <rFont val="굴림체"/>
        <family val="2"/>
        <charset val="129"/>
      </rPr>
      <t xml:space="preserve">(</t>
    </r>
    <r>
      <rPr>
        <sz val="9"/>
        <color theme="1"/>
        <rFont val="Noto Sans CJK KR"/>
        <family val="2"/>
      </rPr>
      <t xml:space="preserve">정관</t>
    </r>
    <r>
      <rPr>
        <sz val="9"/>
        <color theme="1"/>
        <rFont val="굴림체"/>
        <family val="2"/>
        <charset val="129"/>
      </rPr>
      <t xml:space="preserve">)-</t>
    </r>
    <r>
      <rPr>
        <sz val="9"/>
        <color theme="1"/>
        <rFont val="Noto Sans CJK KR"/>
        <family val="2"/>
      </rPr>
      <t xml:space="preserve">긴급</t>
    </r>
  </si>
  <si>
    <t xml:space="preserve">22 24</t>
  </si>
  <si>
    <t xml:space="preserve">16 11</t>
  </si>
  <si>
    <t xml:space="preserve">26 17 22</t>
  </si>
  <si>
    <t xml:space="preserve">푸드랜드</t>
  </si>
  <si>
    <t xml:space="preserve">수강유통</t>
  </si>
  <si>
    <t xml:space="preserve">서원유통진영</t>
  </si>
  <si>
    <r>
      <rPr>
        <b val="true"/>
        <sz val="14"/>
        <color theme="1"/>
        <rFont val="굴림체"/>
        <family val="3"/>
        <charset val="129"/>
      </rPr>
      <t xml:space="preserve">2025</t>
    </r>
    <r>
      <rPr>
        <b val="true"/>
        <sz val="14"/>
        <color theme="1"/>
        <rFont val="Noto Sans CJK KR"/>
        <family val="2"/>
      </rPr>
      <t xml:space="preserve">년 </t>
    </r>
    <r>
      <rPr>
        <b val="true"/>
        <sz val="14"/>
        <color theme="1"/>
        <rFont val="굴림체"/>
        <family val="3"/>
        <charset val="129"/>
      </rPr>
      <t xml:space="preserve">11</t>
    </r>
    <r>
      <rPr>
        <b val="true"/>
        <sz val="14"/>
        <color theme="1"/>
        <rFont val="Noto Sans CJK KR"/>
        <family val="2"/>
      </rPr>
      <t xml:space="preserve">월</t>
    </r>
  </si>
  <si>
    <r>
      <rPr>
        <sz val="9"/>
        <color theme="1"/>
        <rFont val="굴림체"/>
        <family val="2"/>
        <charset val="129"/>
      </rPr>
      <t xml:space="preserve">10</t>
    </r>
    <r>
      <rPr>
        <sz val="9"/>
        <color theme="1"/>
        <rFont val="Noto Sans CJK KR"/>
        <family val="2"/>
      </rPr>
      <t xml:space="preserve">월</t>
    </r>
    <r>
      <rPr>
        <sz val="9"/>
        <color theme="1"/>
        <rFont val="굴림체"/>
        <family val="2"/>
        <charset val="129"/>
      </rPr>
      <t xml:space="preserve">26 ~ 11</t>
    </r>
    <r>
      <rPr>
        <sz val="9"/>
        <color theme="1"/>
        <rFont val="Noto Sans CJK KR"/>
        <family val="2"/>
      </rPr>
      <t xml:space="preserve">월</t>
    </r>
    <r>
      <rPr>
        <sz val="9"/>
        <color theme="1"/>
        <rFont val="굴림체"/>
        <family val="2"/>
        <charset val="129"/>
      </rPr>
      <t xml:space="preserve">25</t>
    </r>
    <r>
      <rPr>
        <sz val="9"/>
        <color theme="1"/>
        <rFont val="Noto Sans CJK KR"/>
        <family val="2"/>
      </rPr>
      <t xml:space="preserve">일</t>
    </r>
  </si>
  <si>
    <r>
      <rPr>
        <sz val="9"/>
        <color theme="1"/>
        <rFont val="굴림체"/>
        <family val="3"/>
        <charset val="129"/>
      </rPr>
      <t xml:space="preserve">GS 27</t>
    </r>
    <r>
      <rPr>
        <sz val="9"/>
        <color theme="1"/>
        <rFont val="Noto Sans CJK KR"/>
        <family val="2"/>
      </rPr>
      <t xml:space="preserve">일중 </t>
    </r>
    <r>
      <rPr>
        <sz val="9"/>
        <color theme="1"/>
        <rFont val="굴림체"/>
        <family val="3"/>
        <charset val="129"/>
      </rPr>
      <t xml:space="preserve">2</t>
    </r>
    <r>
      <rPr>
        <sz val="9"/>
        <color theme="1"/>
        <rFont val="Noto Sans CJK KR"/>
        <family val="2"/>
      </rPr>
      <t xml:space="preserve">회전</t>
    </r>
    <r>
      <rPr>
        <sz val="9"/>
        <color theme="1"/>
        <rFont val="굴림체"/>
        <family val="3"/>
        <charset val="129"/>
      </rPr>
      <t xml:space="preserve">0</t>
    </r>
    <r>
      <rPr>
        <sz val="9"/>
        <color theme="1"/>
        <rFont val="Noto Sans CJK KR"/>
        <family val="2"/>
      </rPr>
      <t xml:space="preserve">일 부산냉동 </t>
    </r>
    <r>
      <rPr>
        <sz val="9"/>
        <color theme="1"/>
        <rFont val="굴림체"/>
        <family val="3"/>
        <charset val="129"/>
      </rPr>
      <t xml:space="preserve">20</t>
    </r>
    <r>
      <rPr>
        <sz val="9"/>
        <color theme="1"/>
        <rFont val="Noto Sans CJK KR"/>
        <family val="2"/>
      </rPr>
      <t xml:space="preserve">일</t>
    </r>
  </si>
  <si>
    <t xml:space="preserve">27 17</t>
  </si>
  <si>
    <t xml:space="preserve">5 14</t>
  </si>
  <si>
    <t xml:space="preserve">7 25</t>
  </si>
  <si>
    <t xml:space="preserve">부산 울산</t>
  </si>
  <si>
    <t xml:space="preserve">10 16</t>
  </si>
  <si>
    <r>
      <rPr>
        <sz val="9"/>
        <color theme="1"/>
        <rFont val="Noto Sans CJK KR"/>
        <family val="2"/>
      </rPr>
      <t xml:space="preserve">원진디에프</t>
    </r>
    <r>
      <rPr>
        <sz val="9"/>
        <color theme="1"/>
        <rFont val="굴림체"/>
        <family val="2"/>
        <charset val="129"/>
      </rPr>
      <t xml:space="preserve">-</t>
    </r>
    <r>
      <rPr>
        <sz val="9"/>
        <color theme="1"/>
        <rFont val="Noto Sans CJK KR"/>
        <family val="2"/>
      </rPr>
      <t xml:space="preserve">긴급</t>
    </r>
  </si>
  <si>
    <r>
      <rPr>
        <sz val="9"/>
        <color theme="1"/>
        <rFont val="굴림체"/>
        <family val="3"/>
        <charset val="129"/>
      </rPr>
      <t xml:space="preserve">19</t>
    </r>
    <r>
      <rPr>
        <sz val="9"/>
        <color theme="1"/>
        <rFont val="Noto Sans CJK KR"/>
        <family val="2"/>
      </rPr>
      <t xml:space="preserve">일</t>
    </r>
  </si>
  <si>
    <t xml:space="preserve">30 10</t>
  </si>
  <si>
    <r>
      <rPr>
        <sz val="9"/>
        <color theme="1"/>
        <rFont val="굴림체"/>
        <family val="2"/>
        <charset val="129"/>
      </rPr>
      <t xml:space="preserve">2</t>
    </r>
    <r>
      <rPr>
        <sz val="9"/>
        <color theme="1"/>
        <rFont val="Noto Sans CJK KR"/>
        <family val="2"/>
      </rPr>
      <t xml:space="preserve">회중</t>
    </r>
    <r>
      <rPr>
        <sz val="9"/>
        <color theme="1"/>
        <rFont val="굴림체"/>
        <family val="2"/>
        <charset val="129"/>
      </rPr>
      <t xml:space="preserve">1</t>
    </r>
    <r>
      <rPr>
        <sz val="9"/>
        <color theme="1"/>
        <rFont val="Noto Sans CJK KR"/>
        <family val="2"/>
      </rPr>
      <t xml:space="preserve">회 청구</t>
    </r>
  </si>
  <si>
    <t xml:space="preserve">컬리 물류</t>
  </si>
  <si>
    <t xml:space="preserve">샵원유통</t>
  </si>
  <si>
    <r>
      <rPr>
        <sz val="9"/>
        <color theme="1"/>
        <rFont val="Noto Sans CJK KR"/>
        <family val="2"/>
      </rPr>
      <t xml:space="preserve">롯데웰푸드</t>
    </r>
    <r>
      <rPr>
        <sz val="9"/>
        <color theme="1"/>
        <rFont val="굴림"/>
        <family val="3"/>
        <charset val="129"/>
      </rPr>
      <t xml:space="preserve">(</t>
    </r>
    <r>
      <rPr>
        <sz val="9"/>
        <color theme="1"/>
        <rFont val="Noto Sans CJK KR"/>
        <family val="2"/>
      </rPr>
      <t xml:space="preserve">주</t>
    </r>
    <r>
      <rPr>
        <sz val="9"/>
        <color theme="1"/>
        <rFont val="굴림"/>
        <family val="3"/>
        <charset val="129"/>
      </rPr>
      <t xml:space="preserve">)_</t>
    </r>
    <r>
      <rPr>
        <sz val="9"/>
        <color theme="1"/>
        <rFont val="Noto Sans CJK KR"/>
        <family val="2"/>
      </rPr>
      <t xml:space="preserve">부산공장</t>
    </r>
  </si>
  <si>
    <t xml:space="preserve">키움푸드</t>
  </si>
  <si>
    <t xml:space="preserve">둘반마트</t>
  </si>
  <si>
    <r>
      <rPr>
        <sz val="9"/>
        <color theme="1"/>
        <rFont val="굴림"/>
        <family val="3"/>
        <charset val="129"/>
      </rPr>
      <t xml:space="preserve">(</t>
    </r>
    <r>
      <rPr>
        <sz val="9"/>
        <color theme="1"/>
        <rFont val="Noto Sans CJK KR"/>
        <family val="2"/>
      </rPr>
      <t xml:space="preserve">주</t>
    </r>
    <r>
      <rPr>
        <sz val="9"/>
        <color theme="1"/>
        <rFont val="굴림"/>
        <family val="3"/>
        <charset val="129"/>
      </rPr>
      <t xml:space="preserve">)</t>
    </r>
    <r>
      <rPr>
        <sz val="9"/>
        <color theme="1"/>
        <rFont val="Noto Sans CJK KR"/>
        <family val="2"/>
      </rPr>
      <t xml:space="preserve">한울맘</t>
    </r>
    <r>
      <rPr>
        <sz val="9"/>
        <color theme="1"/>
        <rFont val="굴림"/>
        <family val="3"/>
        <charset val="129"/>
      </rPr>
      <t xml:space="preserve">_</t>
    </r>
    <r>
      <rPr>
        <sz val="9"/>
        <color theme="1"/>
        <rFont val="Noto Sans CJK KR"/>
        <family val="2"/>
      </rPr>
      <t xml:space="preserve">해운식자재마트</t>
    </r>
  </si>
  <si>
    <r>
      <rPr>
        <b val="true"/>
        <sz val="14"/>
        <color theme="1"/>
        <rFont val="굴림체"/>
        <family val="3"/>
        <charset val="129"/>
      </rPr>
      <t xml:space="preserve">2025</t>
    </r>
    <r>
      <rPr>
        <b val="true"/>
        <sz val="14"/>
        <color theme="1"/>
        <rFont val="Noto Sans CJK KR"/>
        <family val="2"/>
      </rPr>
      <t xml:space="preserve">년 </t>
    </r>
    <r>
      <rPr>
        <b val="true"/>
        <sz val="14"/>
        <color theme="1"/>
        <rFont val="굴림체"/>
        <family val="3"/>
        <charset val="129"/>
      </rPr>
      <t xml:space="preserve">10</t>
    </r>
    <r>
      <rPr>
        <b val="true"/>
        <sz val="14"/>
        <color theme="1"/>
        <rFont val="Noto Sans CJK KR"/>
        <family val="2"/>
      </rPr>
      <t xml:space="preserve">월</t>
    </r>
  </si>
  <si>
    <r>
      <rPr>
        <sz val="9"/>
        <color theme="1"/>
        <rFont val="굴림체"/>
        <family val="2"/>
        <charset val="129"/>
      </rPr>
      <t xml:space="preserve">9</t>
    </r>
    <r>
      <rPr>
        <sz val="9"/>
        <color theme="1"/>
        <rFont val="Noto Sans CJK KR"/>
        <family val="2"/>
      </rPr>
      <t xml:space="preserve">월</t>
    </r>
    <r>
      <rPr>
        <sz val="9"/>
        <color theme="1"/>
        <rFont val="굴림체"/>
        <family val="2"/>
        <charset val="129"/>
      </rPr>
      <t xml:space="preserve">26 ~ 10</t>
    </r>
    <r>
      <rPr>
        <sz val="9"/>
        <color theme="1"/>
        <rFont val="Noto Sans CJK KR"/>
        <family val="2"/>
      </rPr>
      <t xml:space="preserve">월</t>
    </r>
    <r>
      <rPr>
        <sz val="9"/>
        <color theme="1"/>
        <rFont val="굴림체"/>
        <family val="2"/>
        <charset val="129"/>
      </rPr>
      <t xml:space="preserve">25</t>
    </r>
    <r>
      <rPr>
        <sz val="9"/>
        <color theme="1"/>
        <rFont val="Noto Sans CJK KR"/>
        <family val="2"/>
      </rPr>
      <t xml:space="preserve">일</t>
    </r>
  </si>
  <si>
    <r>
      <rPr>
        <sz val="9"/>
        <color theme="1"/>
        <rFont val="굴림체"/>
        <family val="2"/>
        <charset val="129"/>
      </rPr>
      <t xml:space="preserve">18</t>
    </r>
    <r>
      <rPr>
        <sz val="9"/>
        <color theme="1"/>
        <rFont val="Noto Sans CJK KR"/>
        <family val="2"/>
      </rPr>
      <t xml:space="preserve">일</t>
    </r>
  </si>
  <si>
    <r>
      <rPr>
        <sz val="9"/>
        <color theme="1"/>
        <rFont val="굴림체"/>
        <family val="2"/>
        <charset val="129"/>
      </rPr>
      <t xml:space="preserve">23</t>
    </r>
    <r>
      <rPr>
        <sz val="9"/>
        <color theme="1"/>
        <rFont val="Noto Sans CJK KR"/>
        <family val="2"/>
      </rPr>
      <t xml:space="preserve">일</t>
    </r>
  </si>
  <si>
    <r>
      <rPr>
        <sz val="9"/>
        <color theme="1"/>
        <rFont val="굴림체"/>
        <family val="3"/>
        <charset val="129"/>
      </rPr>
      <t xml:space="preserve">GS 26</t>
    </r>
    <r>
      <rPr>
        <sz val="9"/>
        <color theme="1"/>
        <rFont val="Noto Sans CJK KR"/>
        <family val="2"/>
      </rPr>
      <t xml:space="preserve">일중 </t>
    </r>
    <r>
      <rPr>
        <sz val="9"/>
        <color theme="1"/>
        <rFont val="굴림체"/>
        <family val="3"/>
        <charset val="129"/>
      </rPr>
      <t xml:space="preserve">2</t>
    </r>
    <r>
      <rPr>
        <sz val="9"/>
        <color theme="1"/>
        <rFont val="Noto Sans CJK KR"/>
        <family val="2"/>
      </rPr>
      <t xml:space="preserve">회전</t>
    </r>
    <r>
      <rPr>
        <sz val="9"/>
        <color theme="1"/>
        <rFont val="굴림체"/>
        <family val="3"/>
        <charset val="129"/>
      </rPr>
      <t xml:space="preserve">6</t>
    </r>
    <r>
      <rPr>
        <sz val="9"/>
        <color theme="1"/>
        <rFont val="Noto Sans CJK KR"/>
        <family val="2"/>
      </rPr>
      <t xml:space="preserve">일 부산냉동 </t>
    </r>
    <r>
      <rPr>
        <sz val="9"/>
        <color theme="1"/>
        <rFont val="굴림체"/>
        <family val="3"/>
        <charset val="129"/>
      </rPr>
      <t xml:space="preserve">14</t>
    </r>
    <r>
      <rPr>
        <sz val="9"/>
        <color theme="1"/>
        <rFont val="Noto Sans CJK KR"/>
        <family val="2"/>
      </rPr>
      <t xml:space="preserve">일</t>
    </r>
  </si>
  <si>
    <t xml:space="preserve">29 2 13 22</t>
  </si>
  <si>
    <t xml:space="preserve">26 13 22</t>
  </si>
  <si>
    <t xml:space="preserve">롯데광복점 오후배송</t>
  </si>
  <si>
    <t xml:space="preserve">버팔로</t>
  </si>
  <si>
    <r>
      <rPr>
        <sz val="9"/>
        <color theme="1"/>
        <rFont val="굴림"/>
        <family val="3"/>
        <charset val="129"/>
      </rPr>
      <t xml:space="preserve">21</t>
    </r>
    <r>
      <rPr>
        <sz val="9"/>
        <color theme="1"/>
        <rFont val="Noto Sans CJK KR"/>
        <family val="2"/>
      </rPr>
      <t xml:space="preserve">박스 회송</t>
    </r>
  </si>
  <si>
    <t xml:space="preserve">파워푸드</t>
  </si>
  <si>
    <t xml:space="preserve">베스트 대성</t>
  </si>
  <si>
    <t xml:space="preserve">바른유통</t>
  </si>
  <si>
    <r>
      <rPr>
        <sz val="9"/>
        <color theme="1"/>
        <rFont val="Noto Sans CJK KR"/>
        <family val="2"/>
      </rPr>
      <t xml:space="preserve">주식회사 도원푸드</t>
    </r>
    <r>
      <rPr>
        <sz val="9"/>
        <color theme="1"/>
        <rFont val="굴림체"/>
        <family val="2"/>
        <charset val="129"/>
      </rPr>
      <t xml:space="preserve">-</t>
    </r>
    <r>
      <rPr>
        <sz val="9"/>
        <color theme="1"/>
        <rFont val="Noto Sans CJK KR"/>
        <family val="2"/>
      </rPr>
      <t xml:space="preserve">긴급</t>
    </r>
  </si>
  <si>
    <r>
      <rPr>
        <sz val="9"/>
        <color theme="1"/>
        <rFont val="Noto Sans CJK KR"/>
        <family val="2"/>
      </rPr>
      <t xml:space="preserve">주식회사 서경푸드원</t>
    </r>
    <r>
      <rPr>
        <sz val="9"/>
        <color theme="1"/>
        <rFont val="굴림체"/>
        <family val="2"/>
        <charset val="129"/>
      </rPr>
      <t xml:space="preserve">-</t>
    </r>
    <r>
      <rPr>
        <sz val="9"/>
        <color theme="1"/>
        <rFont val="Noto Sans CJK KR"/>
        <family val="2"/>
      </rPr>
      <t xml:space="preserve">긴급</t>
    </r>
  </si>
  <si>
    <r>
      <rPr>
        <sz val="9"/>
        <color theme="1"/>
        <rFont val="Noto Sans CJK KR"/>
        <family val="2"/>
      </rPr>
      <t xml:space="preserve">온새미로</t>
    </r>
    <r>
      <rPr>
        <sz val="9"/>
        <color theme="1"/>
        <rFont val="굴림체"/>
        <family val="2"/>
        <charset val="129"/>
      </rPr>
      <t xml:space="preserve">-</t>
    </r>
    <r>
      <rPr>
        <sz val="9"/>
        <color theme="1"/>
        <rFont val="Noto Sans CJK KR"/>
        <family val="2"/>
      </rPr>
      <t xml:space="preserve">긴급</t>
    </r>
  </si>
  <si>
    <r>
      <rPr>
        <sz val="9"/>
        <color theme="1"/>
        <rFont val="굴림체"/>
        <family val="2"/>
        <charset val="129"/>
      </rPr>
      <t xml:space="preserve">(</t>
    </r>
    <r>
      <rPr>
        <sz val="9"/>
        <color theme="1"/>
        <rFont val="Noto Sans CJK KR"/>
        <family val="2"/>
      </rPr>
      <t xml:space="preserve">주</t>
    </r>
    <r>
      <rPr>
        <sz val="9"/>
        <color theme="1"/>
        <rFont val="굴림체"/>
        <family val="2"/>
        <charset val="129"/>
      </rPr>
      <t xml:space="preserve">)</t>
    </r>
    <r>
      <rPr>
        <sz val="9"/>
        <color theme="1"/>
        <rFont val="Noto Sans CJK KR"/>
        <family val="2"/>
      </rPr>
      <t xml:space="preserve">가람푸드원</t>
    </r>
    <r>
      <rPr>
        <sz val="9"/>
        <color theme="1"/>
        <rFont val="굴림체"/>
        <family val="2"/>
        <charset val="129"/>
      </rPr>
      <t xml:space="preserve">-</t>
    </r>
    <r>
      <rPr>
        <sz val="9"/>
        <color theme="1"/>
        <rFont val="Noto Sans CJK KR"/>
        <family val="2"/>
      </rPr>
      <t xml:space="preserve">긴급</t>
    </r>
  </si>
  <si>
    <r>
      <rPr>
        <sz val="9"/>
        <color theme="1"/>
        <rFont val="Noto Sans CJK KR"/>
        <family val="2"/>
      </rPr>
      <t xml:space="preserve">진주친환경급식센타</t>
    </r>
    <r>
      <rPr>
        <sz val="9"/>
        <color theme="1"/>
        <rFont val="굴림체"/>
        <family val="2"/>
        <charset val="129"/>
      </rPr>
      <t xml:space="preserve">-</t>
    </r>
    <r>
      <rPr>
        <sz val="9"/>
        <color theme="1"/>
        <rFont val="Noto Sans CJK KR"/>
        <family val="2"/>
      </rPr>
      <t xml:space="preserve">긴급</t>
    </r>
  </si>
  <si>
    <r>
      <rPr>
        <sz val="9"/>
        <color theme="1"/>
        <rFont val="Noto Sans CJK KR"/>
        <family val="2"/>
      </rPr>
      <t xml:space="preserve">두온에프앤비</t>
    </r>
    <r>
      <rPr>
        <sz val="9"/>
        <color theme="1"/>
        <rFont val="굴림체"/>
        <family val="2"/>
        <charset val="129"/>
      </rPr>
      <t xml:space="preserve">-</t>
    </r>
    <r>
      <rPr>
        <sz val="9"/>
        <color theme="1"/>
        <rFont val="Noto Sans CJK KR"/>
        <family val="2"/>
      </rPr>
      <t xml:space="preserve">긴급</t>
    </r>
  </si>
  <si>
    <r>
      <rPr>
        <sz val="9"/>
        <color theme="1"/>
        <rFont val="Noto Sans CJK KR"/>
        <family val="2"/>
      </rPr>
      <t xml:space="preserve">양지뜰종합식품</t>
    </r>
    <r>
      <rPr>
        <sz val="9"/>
        <color theme="1"/>
        <rFont val="굴림체"/>
        <family val="2"/>
        <charset val="129"/>
      </rPr>
      <t xml:space="preserve">-</t>
    </r>
    <r>
      <rPr>
        <sz val="9"/>
        <color theme="1"/>
        <rFont val="Noto Sans CJK KR"/>
        <family val="2"/>
      </rPr>
      <t xml:space="preserve">긴급</t>
    </r>
  </si>
  <si>
    <r>
      <rPr>
        <sz val="9"/>
        <color theme="1"/>
        <rFont val="Noto Sans CJK KR"/>
        <family val="2"/>
      </rPr>
      <t xml:space="preserve">다인유통</t>
    </r>
    <r>
      <rPr>
        <sz val="9"/>
        <color theme="1"/>
        <rFont val="굴림체"/>
        <family val="2"/>
        <charset val="129"/>
      </rPr>
      <t xml:space="preserve">-</t>
    </r>
    <r>
      <rPr>
        <sz val="9"/>
        <color theme="1"/>
        <rFont val="Noto Sans CJK KR"/>
        <family val="2"/>
      </rPr>
      <t xml:space="preserve">긴급</t>
    </r>
  </si>
  <si>
    <r>
      <rPr>
        <sz val="9"/>
        <color theme="1"/>
        <rFont val="굴림체"/>
        <family val="2"/>
        <charset val="129"/>
      </rPr>
      <t xml:space="preserve">9</t>
    </r>
    <r>
      <rPr>
        <sz val="9"/>
        <color theme="1"/>
        <rFont val="Noto Sans CJK KR"/>
        <family val="2"/>
      </rPr>
      <t xml:space="preserve">만</t>
    </r>
  </si>
  <si>
    <r>
      <rPr>
        <sz val="9"/>
        <color theme="1"/>
        <rFont val="Noto Sans CJK KR"/>
        <family val="2"/>
      </rPr>
      <t xml:space="preserve">굿모닝푸드</t>
    </r>
    <r>
      <rPr>
        <sz val="9"/>
        <color theme="1"/>
        <rFont val="굴림체"/>
        <family val="2"/>
        <charset val="129"/>
      </rPr>
      <t xml:space="preserve">(</t>
    </r>
    <r>
      <rPr>
        <sz val="9"/>
        <color theme="1"/>
        <rFont val="Noto Sans CJK KR"/>
        <family val="2"/>
      </rPr>
      <t xml:space="preserve">창고</t>
    </r>
    <r>
      <rPr>
        <sz val="9"/>
        <color theme="1"/>
        <rFont val="굴림체"/>
        <family val="2"/>
        <charset val="129"/>
      </rPr>
      <t xml:space="preserve">)-</t>
    </r>
    <r>
      <rPr>
        <sz val="9"/>
        <color theme="1"/>
        <rFont val="Noto Sans CJK KR"/>
        <family val="2"/>
      </rPr>
      <t xml:space="preserve">긴급</t>
    </r>
  </si>
  <si>
    <r>
      <rPr>
        <sz val="9"/>
        <color theme="1"/>
        <rFont val="굴림체"/>
        <family val="2"/>
        <charset val="129"/>
      </rPr>
      <t xml:space="preserve">6</t>
    </r>
    <r>
      <rPr>
        <sz val="9"/>
        <color theme="1"/>
        <rFont val="Noto Sans CJK KR"/>
        <family val="2"/>
      </rPr>
      <t xml:space="preserve">만</t>
    </r>
  </si>
  <si>
    <r>
      <rPr>
        <sz val="9"/>
        <color theme="1"/>
        <rFont val="Noto Sans CJK KR"/>
        <family val="2"/>
      </rPr>
      <t xml:space="preserve">청솔푸드</t>
    </r>
    <r>
      <rPr>
        <sz val="9"/>
        <color theme="1"/>
        <rFont val="굴림체"/>
        <family val="2"/>
        <charset val="129"/>
      </rPr>
      <t xml:space="preserve">-</t>
    </r>
    <r>
      <rPr>
        <sz val="9"/>
        <color theme="1"/>
        <rFont val="Noto Sans CJK KR"/>
        <family val="2"/>
      </rPr>
      <t xml:space="preserve">긴급</t>
    </r>
  </si>
  <si>
    <r>
      <rPr>
        <sz val="9"/>
        <color theme="1"/>
        <rFont val="Noto Sans CJK KR"/>
        <family val="2"/>
      </rPr>
      <t xml:space="preserve">호영유통</t>
    </r>
    <r>
      <rPr>
        <sz val="9"/>
        <color theme="1"/>
        <rFont val="굴림체"/>
        <family val="2"/>
        <charset val="129"/>
      </rPr>
      <t xml:space="preserve">-</t>
    </r>
    <r>
      <rPr>
        <sz val="9"/>
        <color theme="1"/>
        <rFont val="Noto Sans CJK KR"/>
        <family val="2"/>
      </rPr>
      <t xml:space="preserve">긴급</t>
    </r>
  </si>
  <si>
    <r>
      <rPr>
        <sz val="9"/>
        <color theme="1"/>
        <rFont val="Noto Sans CJK KR"/>
        <family val="2"/>
      </rPr>
      <t xml:space="preserve">영진식자재</t>
    </r>
    <r>
      <rPr>
        <sz val="9"/>
        <color theme="1"/>
        <rFont val="굴림체"/>
        <family val="2"/>
        <charset val="129"/>
      </rPr>
      <t xml:space="preserve">-</t>
    </r>
    <r>
      <rPr>
        <sz val="9"/>
        <color theme="1"/>
        <rFont val="Noto Sans CJK KR"/>
        <family val="2"/>
      </rPr>
      <t xml:space="preserve">긴급</t>
    </r>
  </si>
  <si>
    <t xml:space="preserve">20, 10, 10</t>
  </si>
  <si>
    <r>
      <rPr>
        <sz val="9"/>
        <color theme="1"/>
        <rFont val="굴림체"/>
        <family val="2"/>
        <charset val="129"/>
      </rPr>
      <t xml:space="preserve">(</t>
    </r>
    <r>
      <rPr>
        <sz val="9"/>
        <color theme="1"/>
        <rFont val="Noto Sans CJK KR"/>
        <family val="2"/>
      </rPr>
      <t xml:space="preserve">주</t>
    </r>
    <r>
      <rPr>
        <sz val="9"/>
        <color theme="1"/>
        <rFont val="굴림체"/>
        <family val="2"/>
        <charset val="129"/>
      </rPr>
      <t xml:space="preserve">)</t>
    </r>
    <r>
      <rPr>
        <sz val="9"/>
        <color theme="1"/>
        <rFont val="Noto Sans CJK KR"/>
        <family val="2"/>
      </rPr>
      <t xml:space="preserve">서원유통 남산점</t>
    </r>
    <r>
      <rPr>
        <sz val="9"/>
        <color theme="1"/>
        <rFont val="굴림체"/>
        <family val="2"/>
        <charset val="129"/>
      </rPr>
      <t xml:space="preserve">(</t>
    </r>
    <r>
      <rPr>
        <sz val="9"/>
        <color theme="1"/>
        <rFont val="Noto Sans CJK KR"/>
        <family val="2"/>
      </rPr>
      <t xml:space="preserve">대상</t>
    </r>
    <r>
      <rPr>
        <sz val="9"/>
        <color theme="1"/>
        <rFont val="굴림체"/>
        <family val="2"/>
        <charset val="129"/>
      </rPr>
      <t xml:space="preserve">)</t>
    </r>
  </si>
  <si>
    <t xml:space="preserve">부산유통지점</t>
  </si>
  <si>
    <t xml:space="preserve">청옥유통</t>
  </si>
  <si>
    <r>
      <rPr>
        <sz val="9"/>
        <color theme="1"/>
        <rFont val="Noto Sans CJK KR"/>
        <family val="2"/>
      </rPr>
      <t xml:space="preserve">화인엠엔에스</t>
    </r>
    <r>
      <rPr>
        <sz val="9"/>
        <color theme="1"/>
        <rFont val="굴림체"/>
        <family val="2"/>
        <charset val="129"/>
      </rPr>
      <t xml:space="preserve">(</t>
    </r>
    <r>
      <rPr>
        <sz val="9"/>
        <color theme="1"/>
        <rFont val="Noto Sans CJK KR"/>
        <family val="2"/>
      </rPr>
      <t xml:space="preserve">울산</t>
    </r>
    <r>
      <rPr>
        <sz val="9"/>
        <color theme="1"/>
        <rFont val="굴림체"/>
        <family val="2"/>
        <charset val="129"/>
      </rPr>
      <t xml:space="preserve">)</t>
    </r>
  </si>
  <si>
    <r>
      <rPr>
        <sz val="9"/>
        <color theme="1"/>
        <rFont val="굴림체"/>
        <family val="2"/>
        <charset val="129"/>
      </rPr>
      <t xml:space="preserve">(</t>
    </r>
    <r>
      <rPr>
        <sz val="9"/>
        <color theme="1"/>
        <rFont val="Noto Sans CJK KR"/>
        <family val="2"/>
      </rPr>
      <t xml:space="preserve">주</t>
    </r>
    <r>
      <rPr>
        <sz val="9"/>
        <color theme="1"/>
        <rFont val="굴림체"/>
        <family val="2"/>
        <charset val="129"/>
      </rPr>
      <t xml:space="preserve">) </t>
    </r>
    <r>
      <rPr>
        <sz val="9"/>
        <color theme="1"/>
        <rFont val="Noto Sans CJK KR"/>
        <family val="2"/>
      </rPr>
      <t xml:space="preserve">이음푸드</t>
    </r>
    <r>
      <rPr>
        <sz val="9"/>
        <color theme="1"/>
        <rFont val="굴림체"/>
        <family val="2"/>
        <charset val="129"/>
      </rPr>
      <t xml:space="preserve">-</t>
    </r>
    <r>
      <rPr>
        <sz val="9"/>
        <color theme="1"/>
        <rFont val="Noto Sans CJK KR"/>
        <family val="2"/>
      </rPr>
      <t xml:space="preserve">긴급</t>
    </r>
  </si>
  <si>
    <r>
      <rPr>
        <sz val="9"/>
        <color theme="1"/>
        <rFont val="Noto Sans CJK KR"/>
        <family val="2"/>
      </rPr>
      <t xml:space="preserve">미니유통</t>
    </r>
    <r>
      <rPr>
        <sz val="9"/>
        <color theme="1"/>
        <rFont val="굴림체"/>
        <family val="2"/>
        <charset val="129"/>
      </rPr>
      <t xml:space="preserve">-</t>
    </r>
    <r>
      <rPr>
        <sz val="9"/>
        <color theme="1"/>
        <rFont val="Noto Sans CJK KR"/>
        <family val="2"/>
      </rPr>
      <t xml:space="preserve">긴급</t>
    </r>
  </si>
  <si>
    <t xml:space="preserve">맘이오푸드</t>
  </si>
  <si>
    <r>
      <rPr>
        <sz val="9"/>
        <color theme="1"/>
        <rFont val="Noto Sans CJK KR"/>
        <family val="2"/>
      </rPr>
      <t xml:space="preserve">한웅</t>
    </r>
    <r>
      <rPr>
        <sz val="9"/>
        <color theme="1"/>
        <rFont val="굴림체"/>
        <family val="2"/>
        <charset val="129"/>
      </rPr>
      <t xml:space="preserve">-</t>
    </r>
    <r>
      <rPr>
        <sz val="9"/>
        <color theme="1"/>
        <rFont val="Noto Sans CJK KR"/>
        <family val="2"/>
      </rPr>
      <t xml:space="preserve">긴급</t>
    </r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</si>
</sst>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_-* #,##0_-;\-* #,##0_-;_-* \-_-;_-@_-"/>
    <numFmt numFmtId="166" formatCode="mm&quot;월 &quot;dd\일"/>
    <numFmt numFmtId="167" formatCode="m&quot;월 &quot;d\일;@"/>
    <numFmt numFmtId="168" formatCode="@"/>
    <numFmt numFmtId="169" formatCode="yyyy\-mm\-dd"/>
  </numFmts>
  <fonts count="18">
    <font>
      <sz val="9"/>
      <color theme="1"/>
      <name val="Noto Sans CJK KR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맑은 고딕"/>
      <family val="2"/>
      <charset val="129"/>
    </font>
    <font>
      <sz val="9"/>
      <color theme="1"/>
      <name val="굴림체"/>
      <family val="2"/>
      <charset val="129"/>
    </font>
    <font>
      <b val="true"/>
      <sz val="14"/>
      <color theme="1"/>
      <name val="굴림체"/>
      <family val="3"/>
      <charset val="129"/>
    </font>
    <font>
      <b val="true"/>
      <sz val="14"/>
      <color theme="1"/>
      <name val="Noto Sans CJK KR"/>
      <family val="2"/>
    </font>
    <font>
      <b val="true"/>
      <sz val="12"/>
      <color theme="1"/>
      <name val="Noto Sans CJK KR"/>
      <family val="2"/>
    </font>
    <font>
      <b val="true"/>
      <sz val="9"/>
      <color theme="1"/>
      <name val="Noto Sans CJK KR"/>
      <family val="2"/>
    </font>
    <font>
      <sz val="9"/>
      <color theme="1"/>
      <name val="굴림체"/>
      <family val="3"/>
      <charset val="129"/>
    </font>
    <font>
      <b val="true"/>
      <sz val="9"/>
      <color theme="1"/>
      <name val="굴림체"/>
      <family val="3"/>
      <charset val="129"/>
    </font>
    <font>
      <sz val="9"/>
      <color theme="1"/>
      <name val="굴림"/>
      <family val="3"/>
      <charset val="129"/>
    </font>
    <font>
      <b val="true"/>
      <sz val="9"/>
      <color theme="1"/>
      <name val="굴림"/>
      <family val="3"/>
      <charset val="129"/>
    </font>
    <font>
      <b val="true"/>
      <sz val="12"/>
      <color theme="1"/>
      <name val="굴림체"/>
      <family val="3"/>
      <charset val="129"/>
    </font>
    <font>
      <sz val="10"/>
      <name val="Noto Sans CJK KR"/>
      <family val="2"/>
    </font>
    <font>
      <b val="true"/>
      <sz val="9"/>
      <color rgb="FF000000"/>
      <name val="Noto Sans CJK KR"/>
      <family val="2"/>
    </font>
    <font>
      <b val="true"/>
      <sz val="9"/>
      <color rgb="FF000000"/>
      <name val="Tahoma"/>
      <family val="2"/>
      <charset val="1"/>
    </font>
  </fonts>
  <fills count="22">
    <fill>
      <patternFill patternType="none"/>
    </fill>
    <fill>
      <patternFill patternType="gray125"/>
    </fill>
    <fill>
      <patternFill patternType="solid">
        <fgColor theme="4" tint="0.7999"/>
        <bgColor rgb="FFDEEBF7"/>
      </patternFill>
    </fill>
    <fill>
      <patternFill patternType="solid">
        <fgColor theme="5" tint="0.7999"/>
        <bgColor rgb="FFFFF2CC"/>
      </patternFill>
    </fill>
    <fill>
      <patternFill patternType="solid">
        <fgColor theme="6" tint="0.7999"/>
        <bgColor rgb="FFDEEBF7"/>
      </patternFill>
    </fill>
    <fill>
      <patternFill patternType="solid">
        <fgColor theme="7" tint="0.7999"/>
        <bgColor rgb="FFFFFFCC"/>
      </patternFill>
    </fill>
    <fill>
      <patternFill patternType="solid">
        <fgColor theme="8" tint="0.7999"/>
        <bgColor rgb="FFDAE3F3"/>
      </patternFill>
    </fill>
    <fill>
      <patternFill patternType="solid">
        <fgColor theme="9" tint="0.7999"/>
        <bgColor rgb="FFEDEDED"/>
      </patternFill>
    </fill>
    <fill>
      <patternFill patternType="solid">
        <fgColor theme="4" tint="0.5999"/>
        <bgColor rgb="FF9DC3E6"/>
      </patternFill>
    </fill>
    <fill>
      <patternFill patternType="solid">
        <fgColor theme="5" tint="0.5999"/>
        <bgColor rgb="FFFFE699"/>
      </patternFill>
    </fill>
    <fill>
      <patternFill patternType="solid">
        <fgColor theme="6" tint="0.5999"/>
        <bgColor rgb="FFDAE3F3"/>
      </patternFill>
    </fill>
    <fill>
      <patternFill patternType="solid">
        <fgColor theme="7" tint="0.5999"/>
        <bgColor rgb="FFFFF2CC"/>
      </patternFill>
    </fill>
    <fill>
      <patternFill patternType="solid">
        <fgColor theme="8" tint="0.5999"/>
        <bgColor rgb="FFB4C7E7"/>
      </patternFill>
    </fill>
    <fill>
      <patternFill patternType="solid">
        <fgColor theme="9" tint="0.5999"/>
        <bgColor rgb="FFDBDBDB"/>
      </patternFill>
    </fill>
    <fill>
      <patternFill patternType="solid">
        <fgColor theme="4" tint="0.3999"/>
        <bgColor rgb="FF9DC3E6"/>
      </patternFill>
    </fill>
    <fill>
      <patternFill patternType="solid">
        <fgColor theme="5" tint="0.3999"/>
        <bgColor rgb="FFF8CBAD"/>
      </patternFill>
    </fill>
    <fill>
      <patternFill patternType="solid">
        <fgColor theme="6" tint="0.3999"/>
        <bgColor rgb="FFB4C7E7"/>
      </patternFill>
    </fill>
    <fill>
      <patternFill patternType="solid">
        <fgColor theme="7" tint="0.3999"/>
        <bgColor rgb="FFFFE699"/>
      </patternFill>
    </fill>
    <fill>
      <patternFill patternType="solid">
        <fgColor theme="8" tint="0.3999"/>
        <bgColor rgb="FFB4C7E7"/>
      </patternFill>
    </fill>
    <fill>
      <patternFill patternType="solid">
        <fgColor theme="9" tint="0.3999"/>
        <bgColor rgb="FFC5E0B4"/>
      </patternFill>
    </fill>
    <fill>
      <patternFill patternType="solid">
        <fgColor rgb="FFFFFFCC"/>
        <bgColor rgb="FFFFF2CC"/>
      </patternFill>
    </fill>
    <fill>
      <patternFill patternType="solid">
        <fgColor rgb="FFFFFF00"/>
        <bgColor rgb="FFFFD966"/>
      </patternFill>
    </fill>
  </fills>
  <borders count="30">
    <border diagonalUp="false" diagonalDown="false">
      <left/>
      <right/>
      <top/>
      <bottom/>
      <diagonal/>
    </border>
    <border diagonalUp="false" diagonalDown="false"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 diagonalUp="false" diagonalDown="false">
      <left style="thin"/>
      <right style="hair"/>
      <top style="thin"/>
      <bottom style="thin"/>
      <diagonal/>
    </border>
    <border diagonalUp="false" diagonalDown="false">
      <left style="hair"/>
      <right style="hair"/>
      <top style="thin"/>
      <bottom style="thin"/>
      <diagonal/>
    </border>
    <border diagonalUp="false" diagonalDown="false">
      <left style="hair"/>
      <right style="thin"/>
      <top style="thin"/>
      <bottom style="thin"/>
      <diagonal/>
    </border>
    <border diagonalUp="false" diagonalDown="false">
      <left style="thin"/>
      <right style="hair"/>
      <top/>
      <bottom/>
      <diagonal/>
    </border>
    <border diagonalUp="false" diagonalDown="false">
      <left style="hair"/>
      <right style="hair"/>
      <top/>
      <bottom/>
      <diagonal/>
    </border>
    <border diagonalUp="false" diagonalDown="false">
      <left style="hair"/>
      <right style="thin"/>
      <top/>
      <bottom/>
      <diagonal/>
    </border>
    <border diagonalUp="false" diagonalDown="false">
      <left style="thin"/>
      <right style="hair"/>
      <top/>
      <bottom style="hair"/>
      <diagonal/>
    </border>
    <border diagonalUp="false" diagonalDown="false">
      <left style="hair"/>
      <right style="hair"/>
      <top/>
      <bottom style="hair"/>
      <diagonal/>
    </border>
    <border diagonalUp="false" diagonalDown="false">
      <left style="hair"/>
      <right style="thin"/>
      <top/>
      <bottom style="hair"/>
      <diagonal/>
    </border>
    <border diagonalUp="false" diagonalDown="false">
      <left style="thin"/>
      <right style="hair"/>
      <top style="hair"/>
      <bottom style="hair"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hair"/>
      <right style="thin"/>
      <top style="hair"/>
      <bottom style="hair"/>
      <diagonal/>
    </border>
    <border diagonalUp="false" diagonalDown="false">
      <left style="thin"/>
      <right style="hair"/>
      <top style="hair"/>
      <bottom/>
      <diagonal/>
    </border>
    <border diagonalUp="false" diagonalDown="false">
      <left style="hair"/>
      <right style="hair"/>
      <top style="hair"/>
      <bottom/>
      <diagonal/>
    </border>
    <border diagonalUp="false" diagonalDown="false">
      <left style="hair"/>
      <right style="thin"/>
      <top style="hair"/>
      <bottom/>
      <diagonal/>
    </border>
    <border diagonalUp="false" diagonalDown="false">
      <left style="thin"/>
      <right style="hair"/>
      <top style="hair"/>
      <bottom style="thin"/>
      <diagonal/>
    </border>
    <border diagonalUp="false" diagonalDown="false">
      <left style="hair"/>
      <right style="hair"/>
      <top style="hair"/>
      <bottom style="thin"/>
      <diagonal/>
    </border>
    <border diagonalUp="false" diagonalDown="false">
      <left style="hair"/>
      <right style="thin"/>
      <top style="hair"/>
      <bottom style="thin"/>
      <diagonal/>
    </border>
    <border diagonalUp="false" diagonalDown="false">
      <left style="hair"/>
      <right/>
      <top style="thin"/>
      <bottom style="thin"/>
      <diagonal/>
    </border>
    <border diagonalUp="false" diagonalDown="false">
      <left style="hair"/>
      <right/>
      <top/>
      <bottom style="hair"/>
      <diagonal/>
    </border>
    <border diagonalUp="false" diagonalDown="false">
      <left style="hair"/>
      <right/>
      <top style="hair"/>
      <bottom style="hair"/>
      <diagonal/>
    </border>
    <border diagonalUp="false" diagonalDown="false">
      <left style="hair"/>
      <right/>
      <top style="hair"/>
      <bottom/>
      <diagonal/>
    </border>
    <border diagonalUp="false" diagonalDown="false">
      <left style="hair"/>
      <right/>
      <top style="hair"/>
      <bottom style="thin"/>
      <diagonal/>
    </border>
    <border diagonalUp="false" diagonalDown="false">
      <left style="thin"/>
      <right style="hair"/>
      <top style="thin"/>
      <bottom style="hair"/>
      <diagonal/>
    </border>
    <border diagonalUp="false" diagonalDown="false">
      <left style="hair"/>
      <right style="hair"/>
      <top style="thin"/>
      <bottom style="hair"/>
      <diagonal/>
    </border>
    <border diagonalUp="false" diagonalDown="false">
      <left style="hair"/>
      <right style="thin"/>
      <top style="thin"/>
      <bottom style="hair"/>
      <diagonal/>
    </border>
    <border diagonalUp="false" diagonalDown="false">
      <left/>
      <right/>
      <top/>
      <bottom style="thin"/>
      <diagonal/>
    </border>
    <border diagonalUp="false" diagonalDown="false">
      <left style="hair"/>
      <right/>
      <top style="thin"/>
      <bottom style="hair"/>
      <diagonal/>
    </border>
  </borders>
  <cellStyleXfs count="44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false" applyAlignment="true" applyProtection="false">
      <alignment horizontal="general" vertical="center" textRotation="0" wrapText="false" indent="0" shrinkToFit="false"/>
    </xf>
    <xf numFmtId="164" fontId="4" fillId="3" borderId="0" applyFont="true" applyBorder="false" applyAlignment="true" applyProtection="false">
      <alignment horizontal="general" vertical="center" textRotation="0" wrapText="false" indent="0" shrinkToFit="false"/>
    </xf>
    <xf numFmtId="164" fontId="4" fillId="4" borderId="0" applyFont="true" applyBorder="false" applyAlignment="true" applyProtection="false">
      <alignment horizontal="general" vertical="center" textRotation="0" wrapText="false" indent="0" shrinkToFit="false"/>
    </xf>
    <xf numFmtId="164" fontId="4" fillId="5" borderId="0" applyFont="true" applyBorder="false" applyAlignment="true" applyProtection="false">
      <alignment horizontal="general" vertical="center" textRotation="0" wrapText="false" indent="0" shrinkToFit="false"/>
    </xf>
    <xf numFmtId="164" fontId="4" fillId="6" borderId="0" applyFont="true" applyBorder="false" applyAlignment="true" applyProtection="false">
      <alignment horizontal="general" vertical="center" textRotation="0" wrapText="false" indent="0" shrinkToFit="false"/>
    </xf>
    <xf numFmtId="164" fontId="4" fillId="7" borderId="0" applyFont="true" applyBorder="false" applyAlignment="true" applyProtection="false">
      <alignment horizontal="general" vertical="center" textRotation="0" wrapText="false" indent="0" shrinkToFit="false"/>
    </xf>
    <xf numFmtId="164" fontId="4" fillId="8" borderId="0" applyFont="true" applyBorder="false" applyAlignment="true" applyProtection="false">
      <alignment horizontal="general" vertical="center" textRotation="0" wrapText="false" indent="0" shrinkToFit="false"/>
    </xf>
    <xf numFmtId="164" fontId="4" fillId="9" borderId="0" applyFont="true" applyBorder="false" applyAlignment="true" applyProtection="false">
      <alignment horizontal="general" vertical="center" textRotation="0" wrapText="false" indent="0" shrinkToFit="false"/>
    </xf>
    <xf numFmtId="164" fontId="4" fillId="10" borderId="0" applyFont="true" applyBorder="false" applyAlignment="true" applyProtection="false">
      <alignment horizontal="general" vertical="center" textRotation="0" wrapText="false" indent="0" shrinkToFit="false"/>
    </xf>
    <xf numFmtId="164" fontId="4" fillId="11" borderId="0" applyFont="true" applyBorder="false" applyAlignment="true" applyProtection="false">
      <alignment horizontal="general" vertical="center" textRotation="0" wrapText="false" indent="0" shrinkToFit="false"/>
    </xf>
    <xf numFmtId="164" fontId="4" fillId="12" borderId="0" applyFont="true" applyBorder="false" applyAlignment="true" applyProtection="false">
      <alignment horizontal="general" vertical="center" textRotation="0" wrapText="false" indent="0" shrinkToFit="false"/>
    </xf>
    <xf numFmtId="164" fontId="4" fillId="13" borderId="0" applyFont="true" applyBorder="false" applyAlignment="true" applyProtection="false">
      <alignment horizontal="general" vertical="center" textRotation="0" wrapText="false" indent="0" shrinkToFit="false"/>
    </xf>
    <xf numFmtId="164" fontId="4" fillId="14" borderId="0" applyFont="true" applyBorder="false" applyAlignment="true" applyProtection="false">
      <alignment horizontal="general" vertical="center" textRotation="0" wrapText="false" indent="0" shrinkToFit="false"/>
    </xf>
    <xf numFmtId="164" fontId="4" fillId="15" borderId="0" applyFont="true" applyBorder="false" applyAlignment="true" applyProtection="false">
      <alignment horizontal="general" vertical="center" textRotation="0" wrapText="false" indent="0" shrinkToFit="false"/>
    </xf>
    <xf numFmtId="164" fontId="4" fillId="16" borderId="0" applyFont="true" applyBorder="false" applyAlignment="true" applyProtection="false">
      <alignment horizontal="general" vertical="center" textRotation="0" wrapText="false" indent="0" shrinkToFit="false"/>
    </xf>
    <xf numFmtId="164" fontId="4" fillId="17" borderId="0" applyFont="true" applyBorder="false" applyAlignment="true" applyProtection="false">
      <alignment horizontal="general" vertical="center" textRotation="0" wrapText="false" indent="0" shrinkToFit="false"/>
    </xf>
    <xf numFmtId="164" fontId="4" fillId="18" borderId="0" applyFont="true" applyBorder="false" applyAlignment="true" applyProtection="false">
      <alignment horizontal="general" vertical="center" textRotation="0" wrapText="false" indent="0" shrinkToFit="false"/>
    </xf>
    <xf numFmtId="164" fontId="4" fillId="19" borderId="0" applyFont="true" applyBorder="false" applyAlignment="true" applyProtection="false">
      <alignment horizontal="general" vertical="center" textRotation="0" wrapText="false" indent="0" shrinkToFit="false"/>
    </xf>
    <xf numFmtId="164" fontId="5" fillId="20" borderId="1" applyFont="true" applyBorder="true" applyAlignment="true" applyProtection="false">
      <alignment horizontal="general" vertical="center" textRotation="0" wrapText="false" indent="0" shrinkToFit="false"/>
    </xf>
    <xf numFmtId="164" fontId="5" fillId="20" borderId="1" applyFont="true" applyBorder="true" applyAlignment="true" applyProtection="false">
      <alignment horizontal="general" vertical="center" textRotation="0" wrapText="false" indent="0" shrinkToFit="false"/>
    </xf>
    <xf numFmtId="164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5" fillId="0" borderId="0" applyFont="true" applyBorder="false" applyAlignment="true" applyProtection="false">
      <alignment horizontal="general" vertical="center" textRotation="0" wrapText="false" indent="0" shrinkToFit="false"/>
    </xf>
  </cellStyleXfs>
  <cellXfs count="119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9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9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9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9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7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7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1" fillId="7" borderId="9" xfId="43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7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7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7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7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1" fillId="7" borderId="12" xfId="43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21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7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7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7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7" borderId="1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7" borderId="1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21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7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7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7" borderId="1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1" fillId="7" borderId="15" xfId="43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7" borderId="1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7" borderId="1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1" fillId="7" borderId="18" xfId="43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7" borderId="1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21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7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9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1" fillId="0" borderId="9" xfId="43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0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0" borderId="21" xfId="43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5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2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22" xfId="43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6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23" xfId="43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15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8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9" fillId="0" borderId="18" xfId="43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9" fillId="0" borderId="0" xfId="43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2" fillId="0" borderId="25" xfId="42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0" fillId="0" borderId="26" xfId="42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3" fillId="0" borderId="26" xfId="43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27" xfId="42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12" fillId="0" borderId="8" xfId="42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0" fillId="0" borderId="9" xfId="42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3" fillId="0" borderId="9" xfId="43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0" xfId="42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12" fillId="0" borderId="8" xfId="42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0" fillId="0" borderId="11" xfId="42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0" fillId="0" borderId="12" xfId="42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9" fillId="0" borderId="12" xfId="43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3" xfId="42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0" fillId="0" borderId="17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0" fillId="0" borderId="18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0" fillId="0" borderId="11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0" fillId="0" borderId="12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0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0" borderId="17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0" fillId="0" borderId="18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7" borderId="1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0" fillId="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0" borderId="12" xfId="43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6" fontId="10" fillId="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0" borderId="6" xfId="43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8" fontId="12" fillId="0" borderId="12" xfId="42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27" xfId="42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2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0" borderId="15" xfId="43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10" fillId="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3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20% - 강조색1 2" xfId="20"/>
    <cellStyle name="20% - 강조색2 2" xfId="21"/>
    <cellStyle name="20% - 강조색3 2" xfId="22"/>
    <cellStyle name="20% - 강조색4 2" xfId="23"/>
    <cellStyle name="20% - 강조색5 2" xfId="24"/>
    <cellStyle name="20% - 강조색6 2" xfId="25"/>
    <cellStyle name="40% - 강조색1 2" xfId="26"/>
    <cellStyle name="40% - 강조색2 2" xfId="27"/>
    <cellStyle name="40% - 강조색3 2" xfId="28"/>
    <cellStyle name="40% - 강조색4 2" xfId="29"/>
    <cellStyle name="40% - 강조색5 2" xfId="30"/>
    <cellStyle name="40% - 강조색6 2" xfId="31"/>
    <cellStyle name="60% - 강조색1 2" xfId="32"/>
    <cellStyle name="60% - 강조색2 2" xfId="33"/>
    <cellStyle name="60% - 강조색3 2" xfId="34"/>
    <cellStyle name="60% - 강조색4 2" xfId="35"/>
    <cellStyle name="60% - 강조색5 2" xfId="36"/>
    <cellStyle name="60% - 강조색6 2" xfId="37"/>
    <cellStyle name="메모 2" xfId="38"/>
    <cellStyle name="메모 3" xfId="39"/>
    <cellStyle name="표준 2" xfId="40"/>
    <cellStyle name="표준 3" xfId="41"/>
    <cellStyle name="표준 4" xfId="42"/>
    <cellStyle name="Excel Built-in Comma [0]" xfId="43"/>
  </cellStyles>
  <colors>
    <indexedColors>
      <rgbColor rgb="FF000000"/>
      <rgbColor rgb="FFEDEDED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9C9C9"/>
      <rgbColor rgb="FF808080"/>
      <rgbColor rgb="FF8FAADC"/>
      <rgbColor rgb="FF993366"/>
      <rgbColor rgb="FFFFFFCC"/>
      <rgbColor rgb="FFDEEBF7"/>
      <rgbColor rgb="FF660066"/>
      <rgbColor rgb="FFDBDBDB"/>
      <rgbColor rgb="FF0066CC"/>
      <rgbColor rgb="FFBDD7EE"/>
      <rgbColor rgb="FF000080"/>
      <rgbColor rgb="FFFF00FF"/>
      <rgbColor rgb="FFFFF2CC"/>
      <rgbColor rgb="FF00FFFF"/>
      <rgbColor rgb="FF800080"/>
      <rgbColor rgb="FF800000"/>
      <rgbColor rgb="FF008080"/>
      <rgbColor rgb="FF0000FF"/>
      <rgbColor rgb="FF00CCFF"/>
      <rgbColor rgb="FFDAE3F3"/>
      <rgbColor rgb="FFE2F0D9"/>
      <rgbColor rgb="FFFFE699"/>
      <rgbColor rgb="FF9DC3E6"/>
      <rgbColor rgb="FFF4B183"/>
      <rgbColor rgb="FFB4C7E7"/>
      <rgbColor rgb="FFF8CBAD"/>
      <rgbColor rgb="FF4472C4"/>
      <rgbColor rgb="FFC5E0B4"/>
      <rgbColor rgb="FFA9D18E"/>
      <rgbColor rgb="FFFFD966"/>
      <rgbColor rgb="FFFBE5D6"/>
      <rgbColor rgb="FFFF6600"/>
      <rgbColor rgb="FF666699"/>
      <rgbColor rgb="FFB2B2B2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테마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3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4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72C4"/>
    <pageSetUpPr fitToPage="true"/>
  </sheetPr>
  <dimension ref="A1:H5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7" activeCellId="0" sqref="E7"/>
    </sheetView>
  </sheetViews>
  <sheetFormatPr defaultColWidth="9.79296875" defaultRowHeight="12.8" zeroHeight="false" outlineLevelRow="0" outlineLevelCol="0"/>
  <cols>
    <col collapsed="false" customWidth="true" hidden="false" outlineLevel="0" max="1" min="1" style="1" width="36.91"/>
    <col collapsed="false" customWidth="true" hidden="false" outlineLevel="0" max="2" min="2" style="1" width="14.19"/>
    <col collapsed="false" customWidth="true" hidden="false" outlineLevel="0" max="3" min="3" style="2" width="8.59"/>
    <col collapsed="false" customWidth="true" hidden="false" outlineLevel="0" max="4" min="4" style="1" width="53.86"/>
    <col collapsed="false" customWidth="true" hidden="false" outlineLevel="0" max="5" min="5" style="2" width="14.25"/>
    <col collapsed="false" customWidth="true" hidden="false" outlineLevel="0" max="6" min="6" style="2" width="45.66"/>
    <col collapsed="false" customWidth="false" hidden="false" outlineLevel="0" max="8" min="7" style="1" width="9.79"/>
  </cols>
  <sheetData>
    <row r="1" customFormat="false" ht="15.75" hidden="false" customHeight="true" outlineLevel="0" collapsed="false">
      <c r="A1" s="3" t="s">
        <v>0</v>
      </c>
      <c r="B1" s="4" t="s">
        <v>1</v>
      </c>
      <c r="C1" s="4"/>
      <c r="D1" s="5" t="s">
        <v>2</v>
      </c>
      <c r="F1" s="6"/>
      <c r="G1" s="5"/>
      <c r="H1" s="5"/>
    </row>
    <row r="2" customFormat="false" ht="15.75" hidden="false" customHeight="true" outlineLevel="0" collapsed="false">
      <c r="A2" s="5"/>
      <c r="B2" s="5"/>
      <c r="D2" s="5"/>
      <c r="F2" s="5"/>
      <c r="G2" s="5"/>
      <c r="H2" s="5"/>
    </row>
    <row r="3" customFormat="false" ht="15.75" hidden="false" customHeight="true" outlineLevel="0" collapsed="false">
      <c r="A3" s="7" t="s">
        <v>3</v>
      </c>
      <c r="B3" s="7"/>
      <c r="C3" s="8"/>
      <c r="D3" s="5"/>
      <c r="F3" s="2" t="s">
        <v>4</v>
      </c>
      <c r="G3" s="5"/>
      <c r="H3" s="5"/>
    </row>
    <row r="4" customFormat="false" ht="15.75" hidden="false" customHeight="true" outlineLevel="0" collapsed="false">
      <c r="A4" s="9" t="s">
        <v>5</v>
      </c>
      <c r="B4" s="10" t="s">
        <v>6</v>
      </c>
      <c r="C4" s="10" t="s">
        <v>7</v>
      </c>
      <c r="D4" s="11" t="s">
        <v>8</v>
      </c>
      <c r="E4" s="11" t="s">
        <v>9</v>
      </c>
      <c r="F4" s="12" t="s">
        <v>10</v>
      </c>
      <c r="G4" s="5"/>
      <c r="H4" s="5"/>
    </row>
    <row r="5" customFormat="false" ht="14.9" hidden="false" customHeight="false" outlineLevel="0" collapsed="false">
      <c r="A5" s="13" t="s">
        <v>11</v>
      </c>
      <c r="B5" s="14"/>
      <c r="C5" s="14"/>
      <c r="D5" s="14" t="s">
        <v>12</v>
      </c>
      <c r="E5" s="14"/>
      <c r="F5" s="15"/>
      <c r="G5" s="5"/>
      <c r="H5" s="5"/>
    </row>
    <row r="6" customFormat="false" ht="12.8" hidden="false" customHeight="false" outlineLevel="0" collapsed="false">
      <c r="A6" s="13" t="s">
        <v>13</v>
      </c>
      <c r="B6" s="14"/>
      <c r="C6" s="14"/>
      <c r="D6" s="16" t="s">
        <v>14</v>
      </c>
      <c r="E6" s="14"/>
      <c r="F6" s="15"/>
      <c r="G6" s="5"/>
      <c r="H6" s="5"/>
    </row>
    <row r="7" customFormat="false" ht="14.9" hidden="false" customHeight="false" outlineLevel="0" collapsed="false">
      <c r="A7" s="13" t="s">
        <v>15</v>
      </c>
      <c r="B7" s="14"/>
      <c r="C7" s="14"/>
      <c r="D7" s="16" t="s">
        <v>16</v>
      </c>
      <c r="E7" s="14"/>
      <c r="F7" s="15"/>
      <c r="G7" s="5"/>
      <c r="H7" s="5"/>
    </row>
    <row r="8" customFormat="false" ht="14.9" hidden="false" customHeight="false" outlineLevel="0" collapsed="false">
      <c r="A8" s="17" t="s">
        <v>17</v>
      </c>
      <c r="B8" s="18" t="s">
        <v>18</v>
      </c>
      <c r="C8" s="19" t="n">
        <v>80</v>
      </c>
      <c r="D8" s="18"/>
      <c r="E8" s="20"/>
      <c r="F8" s="21" t="s">
        <v>19</v>
      </c>
      <c r="G8" s="5"/>
      <c r="H8" s="5"/>
    </row>
    <row r="9" customFormat="false" ht="15.75" hidden="false" customHeight="true" outlineLevel="0" collapsed="false">
      <c r="A9" s="22" t="s">
        <v>20</v>
      </c>
      <c r="B9" s="23" t="s">
        <v>21</v>
      </c>
      <c r="C9" s="24" t="n">
        <f aca="false">E9*13</f>
        <v>273</v>
      </c>
      <c r="D9" s="23"/>
      <c r="E9" s="25" t="n">
        <v>21</v>
      </c>
      <c r="F9" s="26" t="s">
        <v>22</v>
      </c>
      <c r="G9" s="5"/>
      <c r="H9" s="5"/>
    </row>
    <row r="10" customFormat="false" ht="15.75" hidden="false" customHeight="true" outlineLevel="0" collapsed="false">
      <c r="A10" s="22" t="s">
        <v>23</v>
      </c>
      <c r="B10" s="23"/>
      <c r="C10" s="24" t="n">
        <f aca="false">E10*15</f>
        <v>390</v>
      </c>
      <c r="D10" s="27"/>
      <c r="E10" s="25" t="n">
        <v>26</v>
      </c>
      <c r="F10" s="26" t="s">
        <v>24</v>
      </c>
      <c r="G10" s="5"/>
      <c r="H10" s="5"/>
    </row>
    <row r="11" customFormat="false" ht="15.75" hidden="false" customHeight="true" outlineLevel="0" collapsed="false">
      <c r="A11" s="28" t="s">
        <v>25</v>
      </c>
      <c r="B11" s="29" t="s">
        <v>26</v>
      </c>
      <c r="C11" s="24" t="n">
        <f aca="false">E11*14</f>
        <v>364</v>
      </c>
      <c r="D11" s="30"/>
      <c r="E11" s="31" t="n">
        <v>26</v>
      </c>
      <c r="F11" s="32" t="s">
        <v>27</v>
      </c>
      <c r="G11" s="5"/>
      <c r="H11" s="5"/>
    </row>
    <row r="12" customFormat="false" ht="15.75" hidden="false" customHeight="true" outlineLevel="0" collapsed="false">
      <c r="A12" s="33" t="s">
        <v>28</v>
      </c>
      <c r="B12" s="29"/>
      <c r="C12" s="24" t="n">
        <f aca="false">G12</f>
        <v>0</v>
      </c>
      <c r="D12" s="34" t="s">
        <v>29</v>
      </c>
      <c r="E12" s="31" t="n">
        <v>26</v>
      </c>
      <c r="F12" s="32" t="s">
        <v>30</v>
      </c>
      <c r="G12" s="5"/>
      <c r="H12" s="5"/>
    </row>
    <row r="13" customFormat="false" ht="15.75" hidden="false" customHeight="true" outlineLevel="0" collapsed="false">
      <c r="A13" s="28" t="s">
        <v>31</v>
      </c>
      <c r="B13" s="29"/>
      <c r="C13" s="35" t="n">
        <v>180</v>
      </c>
      <c r="D13" s="30" t="s">
        <v>32</v>
      </c>
      <c r="E13" s="31"/>
      <c r="F13" s="32"/>
      <c r="G13" s="5"/>
      <c r="H13" s="5"/>
    </row>
    <row r="14" customFormat="false" ht="15.75" hidden="false" customHeight="true" outlineLevel="0" collapsed="false">
      <c r="A14" s="28" t="s">
        <v>33</v>
      </c>
      <c r="B14" s="29"/>
      <c r="C14" s="35" t="n">
        <f aca="false">16*E14</f>
        <v>416</v>
      </c>
      <c r="D14" s="30"/>
      <c r="E14" s="31" t="n">
        <v>26</v>
      </c>
      <c r="F14" s="32" t="s">
        <v>34</v>
      </c>
      <c r="G14" s="5"/>
      <c r="H14" s="5"/>
    </row>
    <row r="15" customFormat="false" ht="15.75" hidden="false" customHeight="true" outlineLevel="0" collapsed="false">
      <c r="A15" s="36" t="s">
        <v>35</v>
      </c>
      <c r="B15" s="37"/>
      <c r="C15" s="38" t="n">
        <f aca="false">16*E15</f>
        <v>112</v>
      </c>
      <c r="D15" s="39"/>
      <c r="E15" s="40" t="n">
        <v>7</v>
      </c>
      <c r="F15" s="41" t="s">
        <v>34</v>
      </c>
      <c r="G15" s="5"/>
      <c r="H15" s="5"/>
    </row>
    <row r="16" customFormat="false" ht="15.75" hidden="false" customHeight="true" outlineLevel="0" collapsed="false">
      <c r="A16" s="5"/>
      <c r="B16" s="5"/>
      <c r="D16" s="5"/>
      <c r="G16" s="5"/>
      <c r="H16" s="5"/>
    </row>
    <row r="17" customFormat="false" ht="15.75" hidden="false" customHeight="true" outlineLevel="0" collapsed="false">
      <c r="A17" s="7" t="s">
        <v>36</v>
      </c>
      <c r="B17" s="7"/>
      <c r="C17" s="8"/>
      <c r="D17" s="42" t="s">
        <v>37</v>
      </c>
      <c r="E17" s="43"/>
      <c r="F17" s="2" t="s">
        <v>4</v>
      </c>
      <c r="G17" s="5"/>
      <c r="H17" s="5"/>
    </row>
    <row r="18" customFormat="false" ht="15.75" hidden="false" customHeight="true" outlineLevel="0" collapsed="false">
      <c r="A18" s="9" t="s">
        <v>5</v>
      </c>
      <c r="B18" s="10" t="s">
        <v>6</v>
      </c>
      <c r="C18" s="10" t="s">
        <v>7</v>
      </c>
      <c r="D18" s="44" t="s">
        <v>8</v>
      </c>
      <c r="E18" s="44" t="s">
        <v>9</v>
      </c>
      <c r="F18" s="12" t="s">
        <v>10</v>
      </c>
      <c r="G18" s="5"/>
      <c r="H18" s="5"/>
    </row>
    <row r="19" customFormat="false" ht="15.75" hidden="false" customHeight="true" outlineLevel="0" collapsed="false">
      <c r="A19" s="45" t="s">
        <v>38</v>
      </c>
      <c r="B19" s="46"/>
      <c r="C19" s="47" t="n">
        <f aca="false">E19*F19</f>
        <v>128</v>
      </c>
      <c r="D19" s="48" t="s">
        <v>39</v>
      </c>
      <c r="E19" s="49" t="n">
        <v>8</v>
      </c>
      <c r="F19" s="50" t="n">
        <v>16</v>
      </c>
      <c r="G19" s="5"/>
      <c r="H19" s="5"/>
    </row>
    <row r="20" customFormat="false" ht="15.75" hidden="true" customHeight="true" outlineLevel="0" collapsed="false">
      <c r="A20" s="45"/>
      <c r="B20" s="46"/>
      <c r="C20" s="47" t="n">
        <f aca="false">E20*F20</f>
        <v>0</v>
      </c>
      <c r="D20" s="48"/>
      <c r="E20" s="49"/>
      <c r="F20" s="50"/>
      <c r="G20" s="5"/>
      <c r="H20" s="5"/>
    </row>
    <row r="21" customFormat="false" ht="15.75" hidden="true" customHeight="true" outlineLevel="0" collapsed="false">
      <c r="A21" s="51" t="s">
        <v>40</v>
      </c>
      <c r="B21" s="52"/>
      <c r="C21" s="47" t="n">
        <f aca="false">E21*F21</f>
        <v>0</v>
      </c>
      <c r="D21" s="48"/>
      <c r="E21" s="49"/>
      <c r="F21" s="50"/>
      <c r="G21" s="5"/>
      <c r="H21" s="5"/>
    </row>
    <row r="22" customFormat="false" ht="15.75" hidden="true" customHeight="true" outlineLevel="0" collapsed="false">
      <c r="A22" s="53" t="s">
        <v>41</v>
      </c>
      <c r="B22" s="54"/>
      <c r="C22" s="47" t="n">
        <f aca="false">E22*F22</f>
        <v>0</v>
      </c>
      <c r="D22" s="55"/>
      <c r="E22" s="56"/>
      <c r="F22" s="57"/>
      <c r="G22" s="5"/>
      <c r="H22" s="5"/>
    </row>
    <row r="23" customFormat="false" ht="15.75" hidden="true" customHeight="true" outlineLevel="0" collapsed="false">
      <c r="A23" s="53" t="s">
        <v>42</v>
      </c>
      <c r="B23" s="54"/>
      <c r="C23" s="47" t="n">
        <f aca="false">E23*F23</f>
        <v>0</v>
      </c>
      <c r="D23" s="55"/>
      <c r="E23" s="56"/>
      <c r="F23" s="57"/>
      <c r="G23" s="5"/>
      <c r="H23" s="5"/>
    </row>
    <row r="24" customFormat="false" ht="15.75" hidden="false" customHeight="true" outlineLevel="0" collapsed="false">
      <c r="A24" s="58" t="s">
        <v>40</v>
      </c>
      <c r="B24" s="54"/>
      <c r="C24" s="47" t="n">
        <f aca="false">E24*F24</f>
        <v>30</v>
      </c>
      <c r="D24" s="59" t="s">
        <v>43</v>
      </c>
      <c r="E24" s="56" t="n">
        <v>3</v>
      </c>
      <c r="F24" s="57" t="n">
        <v>10</v>
      </c>
      <c r="G24" s="5"/>
      <c r="H24" s="5"/>
    </row>
    <row r="25" customFormat="false" ht="15.75" hidden="true" customHeight="true" outlineLevel="0" collapsed="false">
      <c r="A25" s="60" t="s">
        <v>44</v>
      </c>
      <c r="B25" s="52"/>
      <c r="C25" s="47" t="n">
        <f aca="false">E25*F25</f>
        <v>0</v>
      </c>
      <c r="D25" s="55"/>
      <c r="E25" s="56"/>
      <c r="F25" s="61"/>
      <c r="G25" s="5"/>
      <c r="H25" s="5"/>
    </row>
    <row r="26" customFormat="false" ht="15.75" hidden="true" customHeight="true" outlineLevel="0" collapsed="false">
      <c r="A26" s="53" t="s">
        <v>45</v>
      </c>
      <c r="B26" s="54"/>
      <c r="C26" s="47" t="n">
        <f aca="false">E26*F26</f>
        <v>0</v>
      </c>
      <c r="D26" s="55"/>
      <c r="E26" s="56"/>
      <c r="F26" s="57"/>
      <c r="G26" s="5"/>
      <c r="H26" s="5"/>
    </row>
    <row r="27" customFormat="false" ht="15.75" hidden="true" customHeight="true" outlineLevel="0" collapsed="false">
      <c r="A27" s="53" t="s">
        <v>46</v>
      </c>
      <c r="B27" s="54"/>
      <c r="C27" s="47" t="n">
        <f aca="false">E27*F27</f>
        <v>0</v>
      </c>
      <c r="D27" s="55"/>
      <c r="E27" s="56"/>
      <c r="F27" s="57"/>
      <c r="G27" s="5"/>
      <c r="H27" s="5"/>
    </row>
    <row r="28" customFormat="false" ht="15.75" hidden="true" customHeight="true" outlineLevel="0" collapsed="false">
      <c r="A28" s="60" t="s">
        <v>47</v>
      </c>
      <c r="B28" s="52"/>
      <c r="C28" s="47" t="n">
        <f aca="false">E28*F28</f>
        <v>0</v>
      </c>
      <c r="D28" s="55"/>
      <c r="E28" s="56"/>
      <c r="F28" s="61"/>
      <c r="G28" s="5"/>
      <c r="H28" s="5"/>
    </row>
    <row r="29" customFormat="false" ht="15.75" hidden="false" customHeight="true" outlineLevel="0" collapsed="false">
      <c r="A29" s="51" t="s">
        <v>48</v>
      </c>
      <c r="B29" s="52"/>
      <c r="C29" s="47" t="n">
        <f aca="false">E29*F29</f>
        <v>0</v>
      </c>
      <c r="D29" s="55"/>
      <c r="E29" s="56"/>
      <c r="F29" s="61" t="n">
        <v>10</v>
      </c>
      <c r="G29" s="5"/>
      <c r="H29" s="5"/>
    </row>
    <row r="30" customFormat="false" ht="15.75" hidden="false" customHeight="true" outlineLevel="0" collapsed="false">
      <c r="A30" s="60" t="s">
        <v>49</v>
      </c>
      <c r="B30" s="52"/>
      <c r="C30" s="47" t="n">
        <f aca="false">E30*F30</f>
        <v>0</v>
      </c>
      <c r="D30" s="55"/>
      <c r="E30" s="56"/>
      <c r="F30" s="61" t="n">
        <v>8</v>
      </c>
      <c r="G30" s="5"/>
      <c r="H30" s="5"/>
    </row>
    <row r="31" customFormat="false" ht="15.75" hidden="false" customHeight="true" outlineLevel="0" collapsed="false">
      <c r="A31" s="60" t="s">
        <v>50</v>
      </c>
      <c r="B31" s="52"/>
      <c r="C31" s="47" t="n">
        <f aca="false">E31*F31</f>
        <v>0</v>
      </c>
      <c r="D31" s="55"/>
      <c r="E31" s="56"/>
      <c r="F31" s="61" t="n">
        <v>8</v>
      </c>
      <c r="G31" s="5"/>
      <c r="H31" s="5"/>
    </row>
    <row r="32" customFormat="false" ht="15.75" hidden="false" customHeight="true" outlineLevel="0" collapsed="false">
      <c r="A32" s="53" t="s">
        <v>51</v>
      </c>
      <c r="B32" s="54"/>
      <c r="C32" s="47" t="n">
        <f aca="false">E32*F32</f>
        <v>0</v>
      </c>
      <c r="D32" s="62"/>
      <c r="E32" s="56"/>
      <c r="F32" s="57" t="n">
        <v>8</v>
      </c>
      <c r="G32" s="5"/>
      <c r="H32" s="5"/>
    </row>
    <row r="33" customFormat="false" ht="15.75" hidden="false" customHeight="true" outlineLevel="0" collapsed="false">
      <c r="A33" s="60" t="s">
        <v>46</v>
      </c>
      <c r="B33" s="52"/>
      <c r="C33" s="47" t="n">
        <f aca="false">E33*F33</f>
        <v>0</v>
      </c>
      <c r="D33" s="62"/>
      <c r="E33" s="63"/>
      <c r="F33" s="61" t="n">
        <v>8</v>
      </c>
      <c r="G33" s="5"/>
      <c r="H33" s="5"/>
    </row>
    <row r="34" customFormat="false" ht="15.75" hidden="false" customHeight="true" outlineLevel="0" collapsed="false">
      <c r="A34" s="60"/>
      <c r="B34" s="52"/>
      <c r="C34" s="47"/>
      <c r="D34" s="62"/>
      <c r="E34" s="63"/>
      <c r="F34" s="61"/>
      <c r="G34" s="5"/>
      <c r="H34" s="5"/>
    </row>
    <row r="35" customFormat="false" ht="15.75" hidden="false" customHeight="true" outlineLevel="0" collapsed="false">
      <c r="A35" s="60" t="s">
        <v>52</v>
      </c>
      <c r="B35" s="52"/>
      <c r="C35" s="47" t="n">
        <v>11</v>
      </c>
      <c r="D35" s="64" t="s">
        <v>53</v>
      </c>
      <c r="E35" s="63"/>
      <c r="F35" s="61"/>
      <c r="G35" s="5"/>
      <c r="H35" s="5"/>
    </row>
    <row r="36" customFormat="false" ht="15.75" hidden="false" customHeight="true" outlineLevel="0" collapsed="false">
      <c r="A36" s="60" t="s">
        <v>54</v>
      </c>
      <c r="B36" s="52"/>
      <c r="C36" s="47" t="n">
        <v>11</v>
      </c>
      <c r="D36" s="64" t="s">
        <v>55</v>
      </c>
      <c r="E36" s="63"/>
      <c r="F36" s="61"/>
      <c r="G36" s="5"/>
      <c r="H36" s="5"/>
    </row>
    <row r="37" customFormat="false" ht="15.75" hidden="false" customHeight="true" outlineLevel="0" collapsed="false">
      <c r="A37" s="60" t="s">
        <v>56</v>
      </c>
      <c r="B37" s="52"/>
      <c r="C37" s="47" t="n">
        <v>16</v>
      </c>
      <c r="D37" s="64" t="s">
        <v>57</v>
      </c>
      <c r="E37" s="63"/>
      <c r="F37" s="61"/>
      <c r="G37" s="5"/>
      <c r="H37" s="5"/>
    </row>
    <row r="38" customFormat="false" ht="15.75" hidden="false" customHeight="true" outlineLevel="0" collapsed="false">
      <c r="A38" s="60" t="s">
        <v>58</v>
      </c>
      <c r="B38" s="52"/>
      <c r="C38" s="47" t="n">
        <v>15</v>
      </c>
      <c r="D38" s="64" t="s">
        <v>59</v>
      </c>
      <c r="E38" s="63"/>
      <c r="F38" s="61"/>
      <c r="G38" s="5"/>
      <c r="H38" s="5"/>
    </row>
    <row r="39" customFormat="false" ht="15.75" hidden="false" customHeight="true" outlineLevel="0" collapsed="false">
      <c r="A39" s="53" t="s">
        <v>60</v>
      </c>
      <c r="B39" s="65"/>
      <c r="C39" s="47" t="n">
        <v>9</v>
      </c>
      <c r="D39" s="62" t="n">
        <v>30</v>
      </c>
      <c r="E39" s="63"/>
      <c r="F39" s="61"/>
      <c r="G39" s="5"/>
      <c r="H39" s="5"/>
    </row>
    <row r="40" customFormat="false" ht="15.75" hidden="false" customHeight="true" outlineLevel="0" collapsed="false">
      <c r="A40" s="60"/>
      <c r="B40" s="52"/>
      <c r="C40" s="47"/>
      <c r="D40" s="62"/>
      <c r="E40" s="63"/>
      <c r="F40" s="61"/>
      <c r="G40" s="5"/>
      <c r="H40" s="5"/>
    </row>
    <row r="41" customFormat="false" ht="15.75" hidden="false" customHeight="true" outlineLevel="0" collapsed="false">
      <c r="A41" s="60" t="s">
        <v>61</v>
      </c>
      <c r="B41" s="52"/>
      <c r="C41" s="47" t="n">
        <v>33</v>
      </c>
      <c r="D41" s="64" t="s">
        <v>62</v>
      </c>
      <c r="E41" s="63" t="n">
        <v>3</v>
      </c>
      <c r="F41" s="66" t="s">
        <v>63</v>
      </c>
      <c r="G41" s="5"/>
      <c r="H41" s="5"/>
    </row>
    <row r="42" customFormat="false" ht="15.75" hidden="false" customHeight="true" outlineLevel="0" collapsed="false">
      <c r="A42" s="67" t="s">
        <v>64</v>
      </c>
      <c r="B42" s="68"/>
      <c r="C42" s="69"/>
      <c r="D42" s="70"/>
      <c r="E42" s="70"/>
      <c r="F42" s="71" t="s">
        <v>65</v>
      </c>
      <c r="G42" s="5"/>
      <c r="H42" s="5"/>
    </row>
    <row r="43" customFormat="false" ht="15.75" hidden="false" customHeight="true" outlineLevel="0" collapsed="false">
      <c r="A43" s="72"/>
      <c r="B43" s="72"/>
      <c r="C43" s="73"/>
      <c r="D43" s="74"/>
      <c r="E43" s="74"/>
      <c r="F43" s="75"/>
      <c r="G43" s="76"/>
      <c r="H43" s="5"/>
    </row>
    <row r="44" customFormat="false" ht="15.75" hidden="false" customHeight="true" outlineLevel="0" collapsed="false">
      <c r="A44" s="77" t="s">
        <v>66</v>
      </c>
      <c r="B44" s="72"/>
      <c r="C44" s="73"/>
      <c r="D44" s="78" t="s">
        <v>67</v>
      </c>
      <c r="E44" s="74"/>
      <c r="F44" s="75"/>
      <c r="G44" s="5"/>
      <c r="H44" s="5"/>
    </row>
    <row r="45" customFormat="false" ht="15.75" hidden="false" customHeight="true" outlineLevel="0" collapsed="false">
      <c r="A45" s="9" t="s">
        <v>68</v>
      </c>
      <c r="B45" s="9" t="s">
        <v>69</v>
      </c>
      <c r="C45" s="10" t="s">
        <v>7</v>
      </c>
      <c r="D45" s="12" t="s">
        <v>70</v>
      </c>
      <c r="E45" s="5"/>
      <c r="F45" s="5"/>
      <c r="G45" s="5"/>
      <c r="H45" s="5"/>
    </row>
    <row r="46" customFormat="false" ht="15.75" hidden="false" customHeight="true" outlineLevel="0" collapsed="false">
      <c r="A46" s="79" t="n">
        <v>46023</v>
      </c>
      <c r="B46" s="80" t="s">
        <v>71</v>
      </c>
      <c r="C46" s="81" t="n">
        <v>10</v>
      </c>
      <c r="D46" s="82"/>
      <c r="E46" s="5"/>
      <c r="F46" s="5"/>
      <c r="G46" s="5"/>
      <c r="H46" s="5"/>
    </row>
    <row r="47" customFormat="false" ht="15.75" hidden="false" customHeight="true" outlineLevel="0" collapsed="false">
      <c r="A47" s="83" t="n">
        <v>46026</v>
      </c>
      <c r="B47" s="84" t="s">
        <v>72</v>
      </c>
      <c r="C47" s="85" t="n">
        <v>10</v>
      </c>
      <c r="D47" s="86"/>
      <c r="E47" s="5"/>
      <c r="F47" s="5"/>
      <c r="G47" s="5"/>
      <c r="H47" s="5"/>
    </row>
    <row r="48" customFormat="false" ht="15.75" hidden="false" customHeight="true" outlineLevel="0" collapsed="false">
      <c r="A48" s="87" t="n">
        <v>46043</v>
      </c>
      <c r="B48" s="84" t="s">
        <v>73</v>
      </c>
      <c r="C48" s="85" t="n">
        <v>10</v>
      </c>
      <c r="D48" s="86"/>
      <c r="E48" s="5"/>
      <c r="F48" s="5"/>
      <c r="G48" s="5"/>
      <c r="H48" s="5"/>
    </row>
    <row r="49" customFormat="false" ht="15.75" hidden="true" customHeight="true" outlineLevel="0" collapsed="false">
      <c r="A49" s="87"/>
      <c r="B49" s="84"/>
      <c r="C49" s="85"/>
      <c r="D49" s="86"/>
      <c r="E49" s="5"/>
      <c r="F49" s="5"/>
      <c r="G49" s="5"/>
      <c r="H49" s="5"/>
    </row>
    <row r="50" customFormat="false" ht="15.75" hidden="true" customHeight="true" outlineLevel="0" collapsed="false">
      <c r="A50" s="87"/>
      <c r="B50" s="84"/>
      <c r="C50" s="85"/>
      <c r="D50" s="86"/>
      <c r="E50" s="5"/>
      <c r="F50" s="5"/>
      <c r="G50" s="5"/>
      <c r="H50" s="5"/>
    </row>
    <row r="51" customFormat="false" ht="15.75" hidden="true" customHeight="true" outlineLevel="0" collapsed="false">
      <c r="A51" s="88"/>
      <c r="B51" s="89"/>
      <c r="C51" s="90"/>
      <c r="D51" s="91"/>
      <c r="E51" s="5"/>
      <c r="F51" s="5"/>
      <c r="G51" s="5"/>
      <c r="H51" s="5"/>
    </row>
    <row r="52" customFormat="false" ht="15.75" hidden="false" customHeight="true" outlineLevel="0" collapsed="false">
      <c r="A52" s="92"/>
      <c r="B52" s="93"/>
      <c r="C52" s="69"/>
      <c r="D52" s="94"/>
      <c r="E52" s="5"/>
      <c r="F52" s="5"/>
      <c r="G52" s="5"/>
      <c r="H52" s="5"/>
    </row>
    <row r="53" customFormat="false" ht="15.75" hidden="false" customHeight="true" outlineLevel="0" collapsed="false">
      <c r="A53" s="5"/>
      <c r="B53" s="5"/>
      <c r="D53" s="5"/>
      <c r="E53" s="5"/>
      <c r="F53" s="5"/>
      <c r="G53" s="5"/>
      <c r="H53" s="5"/>
    </row>
  </sheetData>
  <mergeCells count="1">
    <mergeCell ref="B1:C1"/>
  </mergeCells>
  <printOptions headings="false" gridLines="false" gridLinesSet="true" horizontalCentered="false" verticalCentered="true"/>
  <pageMargins left="0.708333333333333" right="0.708333333333333" top="0" bottom="0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72C4"/>
    <pageSetUpPr fitToPage="true"/>
  </sheetPr>
  <dimension ref="A1:G10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18" activeCellId="0" sqref="J18"/>
    </sheetView>
  </sheetViews>
  <sheetFormatPr defaultColWidth="9.79296875" defaultRowHeight="11.25" zeroHeight="false" outlineLevelRow="0" outlineLevelCol="0"/>
  <cols>
    <col collapsed="false" customWidth="true" hidden="false" outlineLevel="0" max="1" min="1" style="5" width="36.91"/>
    <col collapsed="false" customWidth="true" hidden="false" outlineLevel="0" max="2" min="2" style="5" width="14.19"/>
    <col collapsed="false" customWidth="true" hidden="false" outlineLevel="0" max="3" min="3" style="2" width="8.59"/>
    <col collapsed="false" customWidth="true" hidden="false" outlineLevel="0" max="4" min="4" style="5" width="53.86"/>
    <col collapsed="false" customWidth="true" hidden="false" outlineLevel="0" max="5" min="5" style="2" width="14.25"/>
    <col collapsed="false" customWidth="true" hidden="false" outlineLevel="0" max="6" min="6" style="2" width="45.66"/>
    <col collapsed="false" customWidth="false" hidden="false" outlineLevel="0" max="16384" min="7" style="5" width="9.79"/>
  </cols>
  <sheetData>
    <row r="1" customFormat="false" ht="15.75" hidden="false" customHeight="true" outlineLevel="0" collapsed="false">
      <c r="A1" s="3" t="s">
        <v>0</v>
      </c>
      <c r="B1" s="4" t="s">
        <v>1</v>
      </c>
      <c r="C1" s="4"/>
      <c r="D1" s="5" t="s">
        <v>2</v>
      </c>
      <c r="F1" s="95" t="s">
        <v>74</v>
      </c>
    </row>
    <row r="2" s="1" customFormat="true" ht="15.75" hidden="false" customHeight="true" outlineLevel="0" collapsed="false">
      <c r="A2" s="5"/>
      <c r="B2" s="5"/>
      <c r="C2" s="2"/>
      <c r="D2" s="1" t="s">
        <v>75</v>
      </c>
      <c r="E2" s="2" t="n">
        <v>23</v>
      </c>
    </row>
    <row r="3" s="1" customFormat="true" ht="15.75" hidden="false" customHeight="true" outlineLevel="0" collapsed="false">
      <c r="A3" s="7" t="s">
        <v>76</v>
      </c>
      <c r="B3" s="7"/>
      <c r="C3" s="8"/>
      <c r="D3" s="1" t="s">
        <v>77</v>
      </c>
      <c r="E3" s="2" t="n">
        <v>27</v>
      </c>
      <c r="F3" s="2" t="s">
        <v>4</v>
      </c>
    </row>
    <row r="4" s="1" customFormat="true" ht="15.75" hidden="false" customHeight="true" outlineLevel="0" collapsed="false">
      <c r="A4" s="9" t="s">
        <v>5</v>
      </c>
      <c r="B4" s="10" t="s">
        <v>6</v>
      </c>
      <c r="C4" s="10" t="s">
        <v>7</v>
      </c>
      <c r="D4" s="11" t="s">
        <v>8</v>
      </c>
      <c r="E4" s="11" t="s">
        <v>9</v>
      </c>
      <c r="F4" s="12" t="s">
        <v>10</v>
      </c>
    </row>
    <row r="5" s="1" customFormat="true" ht="14.9" hidden="false" customHeight="false" outlineLevel="0" collapsed="false">
      <c r="A5" s="13" t="s">
        <v>11</v>
      </c>
      <c r="B5" s="14"/>
      <c r="C5" s="14"/>
      <c r="D5" s="14" t="s">
        <v>12</v>
      </c>
      <c r="E5" s="14"/>
      <c r="F5" s="15"/>
    </row>
    <row r="6" s="1" customFormat="true" ht="11.25" hidden="false" customHeight="false" outlineLevel="0" collapsed="false">
      <c r="A6" s="13" t="s">
        <v>13</v>
      </c>
      <c r="B6" s="14"/>
      <c r="C6" s="14"/>
      <c r="D6" s="16" t="s">
        <v>14</v>
      </c>
      <c r="E6" s="14"/>
      <c r="F6" s="15"/>
    </row>
    <row r="7" s="1" customFormat="true" ht="14.9" hidden="false" customHeight="false" outlineLevel="0" collapsed="false">
      <c r="A7" s="13" t="s">
        <v>15</v>
      </c>
      <c r="B7" s="14"/>
      <c r="C7" s="14"/>
      <c r="D7" s="16" t="s">
        <v>16</v>
      </c>
      <c r="E7" s="14"/>
      <c r="F7" s="15"/>
    </row>
    <row r="8" s="1" customFormat="true" ht="14.9" hidden="false" customHeight="false" outlineLevel="0" collapsed="false">
      <c r="A8" s="17" t="s">
        <v>17</v>
      </c>
      <c r="B8" s="18" t="s">
        <v>18</v>
      </c>
      <c r="C8" s="19" t="n">
        <v>80</v>
      </c>
      <c r="D8" s="18"/>
      <c r="E8" s="20"/>
      <c r="F8" s="21" t="s">
        <v>19</v>
      </c>
    </row>
    <row r="9" s="1" customFormat="true" ht="15.75" hidden="false" customHeight="true" outlineLevel="0" collapsed="false">
      <c r="A9" s="22" t="s">
        <v>20</v>
      </c>
      <c r="B9" s="23" t="s">
        <v>21</v>
      </c>
      <c r="C9" s="24" t="n">
        <f aca="false">E9*13</f>
        <v>273</v>
      </c>
      <c r="D9" s="23"/>
      <c r="E9" s="25" t="n">
        <v>21</v>
      </c>
      <c r="F9" s="26" t="s">
        <v>22</v>
      </c>
    </row>
    <row r="10" s="1" customFormat="true" ht="15.75" hidden="false" customHeight="true" outlineLevel="0" collapsed="false">
      <c r="A10" s="22" t="s">
        <v>23</v>
      </c>
      <c r="B10" s="23"/>
      <c r="C10" s="24" t="n">
        <f aca="false">E10*15</f>
        <v>390</v>
      </c>
      <c r="D10" s="27"/>
      <c r="E10" s="25" t="n">
        <v>26</v>
      </c>
      <c r="F10" s="26" t="s">
        <v>24</v>
      </c>
    </row>
    <row r="11" s="1" customFormat="true" ht="15.75" hidden="false" customHeight="true" outlineLevel="0" collapsed="false">
      <c r="A11" s="28" t="s">
        <v>25</v>
      </c>
      <c r="B11" s="29" t="s">
        <v>26</v>
      </c>
      <c r="C11" s="24" t="n">
        <f aca="false">E11*14</f>
        <v>364</v>
      </c>
      <c r="D11" s="30"/>
      <c r="E11" s="31" t="n">
        <v>26</v>
      </c>
      <c r="F11" s="32" t="s">
        <v>27</v>
      </c>
    </row>
    <row r="12" s="1" customFormat="true" ht="15.75" hidden="false" customHeight="true" outlineLevel="0" collapsed="false">
      <c r="A12" s="33" t="s">
        <v>28</v>
      </c>
      <c r="B12" s="29"/>
      <c r="C12" s="24" t="n">
        <f aca="false">G12</f>
        <v>468</v>
      </c>
      <c r="D12" s="34" t="s">
        <v>29</v>
      </c>
      <c r="E12" s="31" t="n">
        <v>26</v>
      </c>
      <c r="F12" s="32" t="s">
        <v>30</v>
      </c>
      <c r="G12" s="1" t="n">
        <f aca="false">E12*15+12*2+3*18</f>
        <v>468</v>
      </c>
    </row>
    <row r="13" s="1" customFormat="true" ht="15.75" hidden="false" customHeight="true" outlineLevel="0" collapsed="false">
      <c r="A13" s="28" t="s">
        <v>31</v>
      </c>
      <c r="B13" s="29"/>
      <c r="C13" s="35" t="n">
        <v>180</v>
      </c>
      <c r="D13" s="30" t="s">
        <v>32</v>
      </c>
      <c r="E13" s="31"/>
      <c r="F13" s="32"/>
    </row>
    <row r="14" s="1" customFormat="true" ht="15.75" hidden="false" customHeight="true" outlineLevel="0" collapsed="false">
      <c r="A14" s="28" t="s">
        <v>33</v>
      </c>
      <c r="B14" s="29"/>
      <c r="C14" s="35" t="n">
        <f aca="false">16*E14</f>
        <v>416</v>
      </c>
      <c r="D14" s="30"/>
      <c r="E14" s="31" t="n">
        <v>26</v>
      </c>
      <c r="F14" s="32" t="s">
        <v>34</v>
      </c>
    </row>
    <row r="15" s="1" customFormat="true" ht="15.75" hidden="false" customHeight="true" outlineLevel="0" collapsed="false">
      <c r="A15" s="36" t="s">
        <v>35</v>
      </c>
      <c r="B15" s="37"/>
      <c r="C15" s="38" t="n">
        <f aca="false">16*E15</f>
        <v>112</v>
      </c>
      <c r="D15" s="39"/>
      <c r="E15" s="40" t="n">
        <v>7</v>
      </c>
      <c r="F15" s="41" t="s">
        <v>34</v>
      </c>
    </row>
    <row r="16" s="1" customFormat="true" ht="15.75" hidden="false" customHeight="true" outlineLevel="0" collapsed="false">
      <c r="C16" s="2"/>
      <c r="E16" s="2"/>
      <c r="F16" s="2"/>
    </row>
    <row r="17" s="1" customFormat="true" ht="15.75" hidden="false" customHeight="true" outlineLevel="0" collapsed="false">
      <c r="A17" s="7" t="s">
        <v>36</v>
      </c>
      <c r="B17" s="7"/>
      <c r="C17" s="8"/>
      <c r="D17" s="42" t="s">
        <v>37</v>
      </c>
      <c r="E17" s="43"/>
      <c r="F17" s="2" t="s">
        <v>4</v>
      </c>
    </row>
    <row r="18" s="1" customFormat="true" ht="15.75" hidden="false" customHeight="true" outlineLevel="0" collapsed="false">
      <c r="A18" s="9" t="s">
        <v>5</v>
      </c>
      <c r="B18" s="10" t="s">
        <v>6</v>
      </c>
      <c r="C18" s="10" t="s">
        <v>7</v>
      </c>
      <c r="D18" s="44" t="s">
        <v>8</v>
      </c>
      <c r="E18" s="44" t="s">
        <v>9</v>
      </c>
      <c r="F18" s="12" t="s">
        <v>10</v>
      </c>
    </row>
    <row r="19" s="1" customFormat="true" ht="15.75" hidden="false" customHeight="true" outlineLevel="0" collapsed="false">
      <c r="A19" s="45" t="s">
        <v>38</v>
      </c>
      <c r="B19" s="46"/>
      <c r="C19" s="47" t="n">
        <f aca="false">E19*F19</f>
        <v>128</v>
      </c>
      <c r="D19" s="48" t="s">
        <v>39</v>
      </c>
      <c r="E19" s="49" t="n">
        <v>8</v>
      </c>
      <c r="F19" s="50" t="n">
        <v>16</v>
      </c>
    </row>
    <row r="20" s="1" customFormat="true" ht="15.75" hidden="true" customHeight="true" outlineLevel="0" collapsed="false">
      <c r="A20" s="45"/>
      <c r="B20" s="46"/>
      <c r="C20" s="47" t="n">
        <f aca="false">E20*F20</f>
        <v>0</v>
      </c>
      <c r="D20" s="48"/>
      <c r="E20" s="49"/>
      <c r="F20" s="50"/>
    </row>
    <row r="21" s="1" customFormat="true" ht="15.75" hidden="true" customHeight="true" outlineLevel="0" collapsed="false">
      <c r="A21" s="51" t="s">
        <v>40</v>
      </c>
      <c r="B21" s="52"/>
      <c r="C21" s="47" t="n">
        <f aca="false">E21*F21</f>
        <v>0</v>
      </c>
      <c r="D21" s="48"/>
      <c r="E21" s="49"/>
      <c r="F21" s="50"/>
    </row>
    <row r="22" s="1" customFormat="true" ht="15.75" hidden="true" customHeight="true" outlineLevel="0" collapsed="false">
      <c r="A22" s="53" t="s">
        <v>41</v>
      </c>
      <c r="B22" s="54"/>
      <c r="C22" s="47" t="n">
        <f aca="false">E22*F22</f>
        <v>0</v>
      </c>
      <c r="D22" s="55"/>
      <c r="E22" s="56"/>
      <c r="F22" s="57"/>
    </row>
    <row r="23" s="1" customFormat="true" ht="15.75" hidden="true" customHeight="true" outlineLevel="0" collapsed="false">
      <c r="A23" s="53" t="s">
        <v>42</v>
      </c>
      <c r="B23" s="54"/>
      <c r="C23" s="47" t="n">
        <f aca="false">E23*F23</f>
        <v>0</v>
      </c>
      <c r="D23" s="55"/>
      <c r="E23" s="56"/>
      <c r="F23" s="57"/>
    </row>
    <row r="24" s="1" customFormat="true" ht="15.75" hidden="false" customHeight="true" outlineLevel="0" collapsed="false">
      <c r="A24" s="58" t="s">
        <v>40</v>
      </c>
      <c r="B24" s="54"/>
      <c r="C24" s="47" t="n">
        <f aca="false">E24*F24</f>
        <v>30</v>
      </c>
      <c r="D24" s="59" t="s">
        <v>43</v>
      </c>
      <c r="E24" s="56" t="n">
        <v>3</v>
      </c>
      <c r="F24" s="57" t="n">
        <v>10</v>
      </c>
    </row>
    <row r="25" s="1" customFormat="true" ht="15.75" hidden="true" customHeight="true" outlineLevel="0" collapsed="false">
      <c r="A25" s="60" t="s">
        <v>44</v>
      </c>
      <c r="B25" s="52"/>
      <c r="C25" s="47" t="n">
        <f aca="false">E25*F25</f>
        <v>0</v>
      </c>
      <c r="D25" s="55"/>
      <c r="E25" s="56"/>
      <c r="F25" s="61"/>
    </row>
    <row r="26" s="1" customFormat="true" ht="15.75" hidden="true" customHeight="true" outlineLevel="0" collapsed="false">
      <c r="A26" s="53" t="s">
        <v>45</v>
      </c>
      <c r="B26" s="54"/>
      <c r="C26" s="47" t="n">
        <f aca="false">E26*F26</f>
        <v>0</v>
      </c>
      <c r="D26" s="55"/>
      <c r="E26" s="56"/>
      <c r="F26" s="57"/>
    </row>
    <row r="27" s="1" customFormat="true" ht="15.75" hidden="true" customHeight="true" outlineLevel="0" collapsed="false">
      <c r="A27" s="53" t="s">
        <v>46</v>
      </c>
      <c r="B27" s="54"/>
      <c r="C27" s="47" t="n">
        <f aca="false">E27*F27</f>
        <v>0</v>
      </c>
      <c r="D27" s="55"/>
      <c r="E27" s="56"/>
      <c r="F27" s="57"/>
    </row>
    <row r="28" s="1" customFormat="true" ht="15.75" hidden="true" customHeight="true" outlineLevel="0" collapsed="false">
      <c r="A28" s="60" t="s">
        <v>47</v>
      </c>
      <c r="B28" s="52"/>
      <c r="C28" s="47" t="n">
        <f aca="false">E28*F28</f>
        <v>0</v>
      </c>
      <c r="D28" s="55"/>
      <c r="E28" s="56"/>
      <c r="F28" s="61"/>
    </row>
    <row r="29" s="1" customFormat="true" ht="15.75" hidden="false" customHeight="true" outlineLevel="0" collapsed="false">
      <c r="A29" s="51" t="s">
        <v>48</v>
      </c>
      <c r="B29" s="52"/>
      <c r="C29" s="47" t="n">
        <f aca="false">E29*F29</f>
        <v>0</v>
      </c>
      <c r="D29" s="55"/>
      <c r="E29" s="56"/>
      <c r="F29" s="61" t="n">
        <v>10</v>
      </c>
    </row>
    <row r="30" s="1" customFormat="true" ht="15.75" hidden="false" customHeight="true" outlineLevel="0" collapsed="false">
      <c r="A30" s="60" t="s">
        <v>49</v>
      </c>
      <c r="B30" s="52"/>
      <c r="C30" s="47" t="n">
        <f aca="false">E30*F30</f>
        <v>0</v>
      </c>
      <c r="D30" s="55"/>
      <c r="E30" s="56"/>
      <c r="F30" s="61" t="n">
        <v>8</v>
      </c>
    </row>
    <row r="31" s="1" customFormat="true" ht="15.75" hidden="false" customHeight="true" outlineLevel="0" collapsed="false">
      <c r="A31" s="60" t="s">
        <v>50</v>
      </c>
      <c r="B31" s="52"/>
      <c r="C31" s="47" t="n">
        <f aca="false">E31*F31</f>
        <v>0</v>
      </c>
      <c r="D31" s="55"/>
      <c r="E31" s="56"/>
      <c r="F31" s="61" t="n">
        <v>8</v>
      </c>
    </row>
    <row r="32" s="1" customFormat="true" ht="15.75" hidden="false" customHeight="true" outlineLevel="0" collapsed="false">
      <c r="A32" s="53" t="s">
        <v>51</v>
      </c>
      <c r="B32" s="54"/>
      <c r="C32" s="47" t="n">
        <f aca="false">E32*F32</f>
        <v>0</v>
      </c>
      <c r="D32" s="62"/>
      <c r="E32" s="56"/>
      <c r="F32" s="57" t="n">
        <v>8</v>
      </c>
    </row>
    <row r="33" s="1" customFormat="true" ht="15.75" hidden="false" customHeight="true" outlineLevel="0" collapsed="false">
      <c r="A33" s="60" t="s">
        <v>46</v>
      </c>
      <c r="B33" s="52"/>
      <c r="C33" s="47" t="n">
        <f aca="false">E33*F33</f>
        <v>0</v>
      </c>
      <c r="D33" s="62"/>
      <c r="E33" s="63"/>
      <c r="F33" s="61" t="n">
        <v>8</v>
      </c>
    </row>
    <row r="34" s="1" customFormat="true" ht="15.75" hidden="false" customHeight="true" outlineLevel="0" collapsed="false">
      <c r="A34" s="60"/>
      <c r="B34" s="52"/>
      <c r="C34" s="47"/>
      <c r="D34" s="62"/>
      <c r="E34" s="63"/>
      <c r="F34" s="61"/>
    </row>
    <row r="35" s="1" customFormat="true" ht="15.75" hidden="false" customHeight="true" outlineLevel="0" collapsed="false">
      <c r="A35" s="60" t="s">
        <v>52</v>
      </c>
      <c r="B35" s="52"/>
      <c r="C35" s="47" t="n">
        <v>11</v>
      </c>
      <c r="D35" s="64" t="s">
        <v>53</v>
      </c>
      <c r="E35" s="63"/>
      <c r="F35" s="61"/>
    </row>
    <row r="36" s="1" customFormat="true" ht="15.75" hidden="false" customHeight="true" outlineLevel="0" collapsed="false">
      <c r="A36" s="60" t="s">
        <v>54</v>
      </c>
      <c r="B36" s="52"/>
      <c r="C36" s="47" t="n">
        <v>11</v>
      </c>
      <c r="D36" s="64" t="s">
        <v>55</v>
      </c>
      <c r="E36" s="63"/>
      <c r="F36" s="61"/>
    </row>
    <row r="37" s="1" customFormat="true" ht="15.75" hidden="false" customHeight="true" outlineLevel="0" collapsed="false">
      <c r="A37" s="60" t="s">
        <v>56</v>
      </c>
      <c r="B37" s="52"/>
      <c r="C37" s="47" t="n">
        <v>16</v>
      </c>
      <c r="D37" s="64" t="s">
        <v>57</v>
      </c>
      <c r="E37" s="63"/>
      <c r="F37" s="61"/>
    </row>
    <row r="38" s="1" customFormat="true" ht="15.75" hidden="false" customHeight="true" outlineLevel="0" collapsed="false">
      <c r="A38" s="60" t="s">
        <v>58</v>
      </c>
      <c r="B38" s="52"/>
      <c r="C38" s="47" t="n">
        <v>15</v>
      </c>
      <c r="D38" s="64" t="s">
        <v>59</v>
      </c>
      <c r="E38" s="63"/>
      <c r="F38" s="61"/>
    </row>
    <row r="39" s="1" customFormat="true" ht="15.75" hidden="false" customHeight="true" outlineLevel="0" collapsed="false">
      <c r="A39" s="53" t="s">
        <v>60</v>
      </c>
      <c r="B39" s="65"/>
      <c r="C39" s="47" t="n">
        <v>9</v>
      </c>
      <c r="D39" s="62" t="n">
        <v>30</v>
      </c>
      <c r="E39" s="63"/>
      <c r="F39" s="61"/>
    </row>
    <row r="40" s="1" customFormat="true" ht="15.75" hidden="false" customHeight="true" outlineLevel="0" collapsed="false">
      <c r="A40" s="60"/>
      <c r="B40" s="52"/>
      <c r="C40" s="47"/>
      <c r="D40" s="62"/>
      <c r="E40" s="63"/>
      <c r="F40" s="61"/>
    </row>
    <row r="41" s="1" customFormat="true" ht="15.75" hidden="false" customHeight="true" outlineLevel="0" collapsed="false">
      <c r="A41" s="60" t="s">
        <v>61</v>
      </c>
      <c r="B41" s="52"/>
      <c r="C41" s="47" t="n">
        <v>33</v>
      </c>
      <c r="D41" s="64" t="s">
        <v>62</v>
      </c>
      <c r="E41" s="63" t="n">
        <v>3</v>
      </c>
      <c r="F41" s="66" t="s">
        <v>63</v>
      </c>
    </row>
    <row r="42" s="1" customFormat="true" ht="15.75" hidden="false" customHeight="true" outlineLevel="0" collapsed="false">
      <c r="A42" s="67" t="s">
        <v>64</v>
      </c>
      <c r="B42" s="68"/>
      <c r="C42" s="69"/>
      <c r="D42" s="70"/>
      <c r="E42" s="70"/>
      <c r="F42" s="71" t="s">
        <v>65</v>
      </c>
    </row>
    <row r="43" s="1" customFormat="true" ht="15.75" hidden="false" customHeight="true" outlineLevel="0" collapsed="false">
      <c r="A43" s="72"/>
      <c r="B43" s="72"/>
      <c r="C43" s="73"/>
      <c r="D43" s="74"/>
      <c r="E43" s="74"/>
      <c r="F43" s="75"/>
      <c r="G43" s="76"/>
    </row>
    <row r="44" s="1" customFormat="true" ht="15.75" hidden="false" customHeight="true" outlineLevel="0" collapsed="false">
      <c r="A44" s="77" t="s">
        <v>66</v>
      </c>
      <c r="B44" s="72"/>
      <c r="C44" s="73"/>
      <c r="D44" s="78" t="s">
        <v>67</v>
      </c>
      <c r="E44" s="74"/>
      <c r="F44" s="75"/>
    </row>
    <row r="45" s="1" customFormat="true" ht="15.75" hidden="false" customHeight="true" outlineLevel="0" collapsed="false">
      <c r="A45" s="9" t="s">
        <v>68</v>
      </c>
      <c r="B45" s="9" t="s">
        <v>69</v>
      </c>
      <c r="C45" s="10" t="s">
        <v>7</v>
      </c>
      <c r="D45" s="12" t="s">
        <v>70</v>
      </c>
    </row>
    <row r="46" s="1" customFormat="true" ht="15.75" hidden="false" customHeight="true" outlineLevel="0" collapsed="false">
      <c r="A46" s="79" t="n">
        <v>46023</v>
      </c>
      <c r="B46" s="80" t="s">
        <v>71</v>
      </c>
      <c r="C46" s="81" t="n">
        <v>10</v>
      </c>
      <c r="D46" s="82"/>
    </row>
    <row r="47" s="1" customFormat="true" ht="15.75" hidden="false" customHeight="true" outlineLevel="0" collapsed="false">
      <c r="A47" s="83" t="n">
        <v>46026</v>
      </c>
      <c r="B47" s="84" t="s">
        <v>72</v>
      </c>
      <c r="C47" s="85" t="n">
        <v>10</v>
      </c>
      <c r="D47" s="86"/>
    </row>
    <row r="48" s="1" customFormat="true" ht="15.75" hidden="false" customHeight="true" outlineLevel="0" collapsed="false">
      <c r="A48" s="87" t="n">
        <v>46043</v>
      </c>
      <c r="B48" s="84" t="s">
        <v>73</v>
      </c>
      <c r="C48" s="85" t="n">
        <v>10</v>
      </c>
      <c r="D48" s="86"/>
    </row>
    <row r="49" s="1" customFormat="true" ht="15.75" hidden="true" customHeight="true" outlineLevel="0" collapsed="false">
      <c r="A49" s="87"/>
      <c r="B49" s="84"/>
      <c r="C49" s="85"/>
      <c r="D49" s="86"/>
    </row>
    <row r="50" s="1" customFormat="true" ht="15.75" hidden="true" customHeight="true" outlineLevel="0" collapsed="false">
      <c r="A50" s="87"/>
      <c r="B50" s="84"/>
      <c r="C50" s="85"/>
      <c r="D50" s="86"/>
    </row>
    <row r="51" s="1" customFormat="true" ht="15.75" hidden="true" customHeight="true" outlineLevel="0" collapsed="false">
      <c r="A51" s="88"/>
      <c r="B51" s="89"/>
      <c r="C51" s="90"/>
      <c r="D51" s="91"/>
    </row>
    <row r="52" s="1" customFormat="true" ht="15.75" hidden="false" customHeight="true" outlineLevel="0" collapsed="false">
      <c r="A52" s="92"/>
      <c r="B52" s="93"/>
      <c r="C52" s="69"/>
      <c r="D52" s="94"/>
    </row>
    <row r="53" s="1" customFormat="true" ht="15.75" hidden="false" customHeight="true" outlineLevel="0" collapsed="false">
      <c r="C53" s="2"/>
    </row>
    <row r="54" s="1" customFormat="true" ht="15.75" hidden="false" customHeight="true" outlineLevel="0" collapsed="false">
      <c r="A54" s="77" t="s">
        <v>78</v>
      </c>
      <c r="B54" s="96" t="s">
        <v>79</v>
      </c>
      <c r="C54" s="96"/>
      <c r="D54" s="96"/>
      <c r="E54" s="96"/>
      <c r="F54" s="96"/>
      <c r="G54" s="76"/>
    </row>
    <row r="55" s="1" customFormat="true" ht="15.75" hidden="false" customHeight="true" outlineLevel="0" collapsed="false">
      <c r="A55" s="9" t="s">
        <v>69</v>
      </c>
      <c r="B55" s="10" t="s">
        <v>80</v>
      </c>
      <c r="C55" s="10" t="s">
        <v>7</v>
      </c>
      <c r="D55" s="12" t="s">
        <v>69</v>
      </c>
      <c r="E55" s="76"/>
      <c r="F55" s="76"/>
    </row>
    <row r="56" s="1" customFormat="true" ht="15.75" hidden="false" customHeight="true" outlineLevel="0" collapsed="false">
      <c r="A56" s="97"/>
      <c r="B56" s="98"/>
      <c r="C56" s="90"/>
      <c r="D56" s="99"/>
    </row>
    <row r="57" s="1" customFormat="true" ht="15.75" hidden="false" customHeight="true" outlineLevel="0" collapsed="false">
      <c r="A57" s="97"/>
      <c r="B57" s="98"/>
      <c r="C57" s="90"/>
      <c r="D57" s="99"/>
    </row>
    <row r="58" s="1" customFormat="true" ht="15.75" hidden="false" customHeight="true" outlineLevel="0" collapsed="false">
      <c r="A58" s="100"/>
      <c r="B58" s="101"/>
      <c r="C58" s="69"/>
      <c r="D58" s="94"/>
    </row>
    <row r="59" s="1" customFormat="true" ht="11.25" hidden="false" customHeight="false" outlineLevel="0" collapsed="false">
      <c r="C59" s="2"/>
    </row>
    <row r="60" s="1" customFormat="true" ht="11.25" hidden="false" customHeight="false" outlineLevel="0" collapsed="false">
      <c r="C60" s="2"/>
    </row>
    <row r="61" s="1" customFormat="true" ht="11.25" hidden="false" customHeight="false" outlineLevel="0" collapsed="false">
      <c r="C61" s="2"/>
    </row>
    <row r="62" s="1" customFormat="true" ht="11.25" hidden="false" customHeight="false" outlineLevel="0" collapsed="false">
      <c r="C62" s="2"/>
    </row>
    <row r="63" s="1" customFormat="true" ht="11.25" hidden="false" customHeight="false" outlineLevel="0" collapsed="false">
      <c r="C63" s="2"/>
      <c r="E63" s="2"/>
      <c r="F63" s="2"/>
    </row>
    <row r="64" s="1" customFormat="true" ht="11.25" hidden="false" customHeight="false" outlineLevel="0" collapsed="false">
      <c r="C64" s="2"/>
      <c r="E64" s="2"/>
      <c r="F64" s="2"/>
    </row>
    <row r="65" s="1" customFormat="true" ht="11.25" hidden="false" customHeight="false" outlineLevel="0" collapsed="false">
      <c r="C65" s="2"/>
      <c r="E65" s="2"/>
      <c r="F65" s="2"/>
    </row>
    <row r="66" s="1" customFormat="true" ht="11.25" hidden="false" customHeight="false" outlineLevel="0" collapsed="false">
      <c r="C66" s="2"/>
      <c r="E66" s="2"/>
      <c r="F66" s="2"/>
    </row>
    <row r="67" s="1" customFormat="true" ht="11.25" hidden="false" customHeight="false" outlineLevel="0" collapsed="false">
      <c r="C67" s="2"/>
      <c r="E67" s="2"/>
      <c r="F67" s="2"/>
    </row>
    <row r="68" s="1" customFormat="true" ht="11.25" hidden="false" customHeight="false" outlineLevel="0" collapsed="false">
      <c r="C68" s="2"/>
      <c r="E68" s="2"/>
      <c r="F68" s="2"/>
    </row>
    <row r="69" s="1" customFormat="true" ht="11.25" hidden="false" customHeight="false" outlineLevel="0" collapsed="false">
      <c r="C69" s="2"/>
      <c r="E69" s="2"/>
      <c r="F69" s="2"/>
    </row>
    <row r="70" s="1" customFormat="true" ht="11.25" hidden="false" customHeight="false" outlineLevel="0" collapsed="false">
      <c r="C70" s="2"/>
      <c r="E70" s="2"/>
      <c r="F70" s="2"/>
    </row>
    <row r="71" s="1" customFormat="true" ht="11.25" hidden="false" customHeight="false" outlineLevel="0" collapsed="false">
      <c r="C71" s="2"/>
      <c r="E71" s="2"/>
      <c r="F71" s="2"/>
    </row>
    <row r="72" s="1" customFormat="true" ht="11.25" hidden="false" customHeight="false" outlineLevel="0" collapsed="false">
      <c r="C72" s="2"/>
      <c r="E72" s="2"/>
      <c r="F72" s="2"/>
    </row>
    <row r="73" s="1" customFormat="true" ht="11.25" hidden="false" customHeight="false" outlineLevel="0" collapsed="false">
      <c r="C73" s="2"/>
      <c r="E73" s="2"/>
      <c r="F73" s="2"/>
    </row>
    <row r="74" s="1" customFormat="true" ht="11.25" hidden="false" customHeight="false" outlineLevel="0" collapsed="false">
      <c r="C74" s="2"/>
      <c r="E74" s="2"/>
      <c r="F74" s="2"/>
    </row>
    <row r="75" s="1" customFormat="true" ht="11.25" hidden="false" customHeight="false" outlineLevel="0" collapsed="false">
      <c r="C75" s="2"/>
      <c r="E75" s="2"/>
      <c r="F75" s="2"/>
    </row>
    <row r="76" s="1" customFormat="true" ht="11.25" hidden="false" customHeight="false" outlineLevel="0" collapsed="false">
      <c r="C76" s="2"/>
      <c r="E76" s="2"/>
      <c r="F76" s="2"/>
    </row>
    <row r="77" s="1" customFormat="true" ht="11.25" hidden="false" customHeight="false" outlineLevel="0" collapsed="false">
      <c r="C77" s="2"/>
      <c r="E77" s="2"/>
      <c r="F77" s="2"/>
    </row>
    <row r="78" s="1" customFormat="true" ht="11.25" hidden="false" customHeight="false" outlineLevel="0" collapsed="false">
      <c r="C78" s="2"/>
      <c r="E78" s="2"/>
      <c r="F78" s="2"/>
    </row>
    <row r="79" s="1" customFormat="true" ht="11.25" hidden="false" customHeight="false" outlineLevel="0" collapsed="false">
      <c r="C79" s="2"/>
      <c r="E79" s="2"/>
      <c r="F79" s="2"/>
    </row>
    <row r="80" s="1" customFormat="true" ht="11.25" hidden="false" customHeight="false" outlineLevel="0" collapsed="false">
      <c r="C80" s="2"/>
      <c r="E80" s="2"/>
      <c r="F80" s="2"/>
    </row>
    <row r="81" s="1" customFormat="true" ht="11.25" hidden="false" customHeight="false" outlineLevel="0" collapsed="false">
      <c r="C81" s="2"/>
      <c r="E81" s="2"/>
      <c r="F81" s="2"/>
    </row>
    <row r="82" s="1" customFormat="true" ht="11.25" hidden="false" customHeight="false" outlineLevel="0" collapsed="false">
      <c r="C82" s="2"/>
      <c r="E82" s="2"/>
      <c r="F82" s="2"/>
    </row>
    <row r="83" s="1" customFormat="true" ht="11.25" hidden="false" customHeight="false" outlineLevel="0" collapsed="false">
      <c r="C83" s="2"/>
      <c r="E83" s="2"/>
      <c r="F83" s="2"/>
    </row>
    <row r="84" s="1" customFormat="true" ht="11.25" hidden="false" customHeight="false" outlineLevel="0" collapsed="false">
      <c r="C84" s="2"/>
      <c r="E84" s="2"/>
      <c r="F84" s="2"/>
    </row>
    <row r="85" s="1" customFormat="true" ht="11.25" hidden="false" customHeight="false" outlineLevel="0" collapsed="false">
      <c r="C85" s="2"/>
      <c r="E85" s="2"/>
      <c r="F85" s="2"/>
    </row>
    <row r="86" s="1" customFormat="true" ht="11.25" hidden="false" customHeight="false" outlineLevel="0" collapsed="false">
      <c r="C86" s="2"/>
      <c r="E86" s="2"/>
      <c r="F86" s="2"/>
    </row>
    <row r="87" s="1" customFormat="true" ht="11.25" hidden="false" customHeight="false" outlineLevel="0" collapsed="false">
      <c r="C87" s="2"/>
      <c r="E87" s="2"/>
      <c r="F87" s="2"/>
    </row>
    <row r="88" s="1" customFormat="true" ht="11.25" hidden="false" customHeight="false" outlineLevel="0" collapsed="false">
      <c r="C88" s="2"/>
      <c r="E88" s="2"/>
      <c r="F88" s="2"/>
    </row>
    <row r="89" s="1" customFormat="true" ht="11.25" hidden="false" customHeight="false" outlineLevel="0" collapsed="false">
      <c r="C89" s="2"/>
      <c r="E89" s="2"/>
      <c r="F89" s="2"/>
    </row>
    <row r="90" s="1" customFormat="true" ht="11.25" hidden="false" customHeight="false" outlineLevel="0" collapsed="false">
      <c r="C90" s="2"/>
      <c r="E90" s="2"/>
      <c r="F90" s="2"/>
    </row>
    <row r="91" s="1" customFormat="true" ht="11.25" hidden="false" customHeight="false" outlineLevel="0" collapsed="false">
      <c r="C91" s="2"/>
      <c r="E91" s="2"/>
      <c r="F91" s="2"/>
    </row>
    <row r="92" s="1" customFormat="true" ht="11.25" hidden="false" customHeight="false" outlineLevel="0" collapsed="false">
      <c r="C92" s="2"/>
      <c r="E92" s="2"/>
      <c r="F92" s="2"/>
    </row>
    <row r="93" s="1" customFormat="true" ht="11.25" hidden="false" customHeight="false" outlineLevel="0" collapsed="false">
      <c r="C93" s="2"/>
      <c r="E93" s="2"/>
      <c r="F93" s="2"/>
    </row>
    <row r="94" s="1" customFormat="true" ht="11.25" hidden="false" customHeight="false" outlineLevel="0" collapsed="false">
      <c r="C94" s="2"/>
      <c r="E94" s="2"/>
      <c r="F94" s="2"/>
    </row>
    <row r="95" s="1" customFormat="true" ht="11.25" hidden="false" customHeight="false" outlineLevel="0" collapsed="false">
      <c r="C95" s="2"/>
      <c r="E95" s="2"/>
      <c r="F95" s="2"/>
    </row>
    <row r="96" s="1" customFormat="true" ht="11.25" hidden="false" customHeight="false" outlineLevel="0" collapsed="false">
      <c r="C96" s="2"/>
      <c r="E96" s="2"/>
      <c r="F96" s="2"/>
    </row>
    <row r="97" s="1" customFormat="true" ht="11.25" hidden="false" customHeight="false" outlineLevel="0" collapsed="false">
      <c r="C97" s="2"/>
      <c r="E97" s="2"/>
      <c r="F97" s="2"/>
    </row>
    <row r="98" s="1" customFormat="true" ht="11.25" hidden="false" customHeight="false" outlineLevel="0" collapsed="false">
      <c r="C98" s="2"/>
      <c r="E98" s="2"/>
      <c r="F98" s="2"/>
    </row>
    <row r="99" s="1" customFormat="true" ht="11.25" hidden="false" customHeight="false" outlineLevel="0" collapsed="false">
      <c r="C99" s="2"/>
      <c r="E99" s="2"/>
      <c r="F99" s="2"/>
    </row>
    <row r="100" s="1" customFormat="true" ht="11.25" hidden="false" customHeight="false" outlineLevel="0" collapsed="false">
      <c r="C100" s="2"/>
      <c r="E100" s="2"/>
      <c r="F100" s="2"/>
    </row>
    <row r="101" s="1" customFormat="true" ht="11.25" hidden="false" customHeight="false" outlineLevel="0" collapsed="false">
      <c r="C101" s="2"/>
      <c r="E101" s="2"/>
      <c r="F101" s="2"/>
    </row>
    <row r="102" s="1" customFormat="true" ht="11.25" hidden="false" customHeight="false" outlineLevel="0" collapsed="false">
      <c r="C102" s="2"/>
      <c r="E102" s="2"/>
      <c r="F102" s="2"/>
    </row>
    <row r="103" s="1" customFormat="true" ht="11.25" hidden="false" customHeight="false" outlineLevel="0" collapsed="false">
      <c r="C103" s="2"/>
      <c r="E103" s="2"/>
      <c r="F103" s="2"/>
    </row>
    <row r="104" s="1" customFormat="true" ht="11.25" hidden="false" customHeight="false" outlineLevel="0" collapsed="false">
      <c r="C104" s="2"/>
      <c r="E104" s="2"/>
      <c r="F104" s="2"/>
    </row>
    <row r="105" s="1" customFormat="true" ht="11.25" hidden="false" customHeight="false" outlineLevel="0" collapsed="false">
      <c r="C105" s="2"/>
      <c r="E105" s="2"/>
      <c r="F105" s="2"/>
    </row>
    <row r="106" s="1" customFormat="true" ht="11.25" hidden="false" customHeight="false" outlineLevel="0" collapsed="false">
      <c r="C106" s="2"/>
      <c r="E106" s="2"/>
      <c r="F106" s="2"/>
    </row>
    <row r="107" s="1" customFormat="true" ht="11.25" hidden="false" customHeight="false" outlineLevel="0" collapsed="false">
      <c r="C107" s="2"/>
      <c r="E107" s="2"/>
      <c r="F107" s="2"/>
    </row>
    <row r="108" s="1" customFormat="true" ht="11.25" hidden="false" customHeight="false" outlineLevel="0" collapsed="false">
      <c r="C108" s="2"/>
      <c r="E108" s="2"/>
      <c r="F108" s="2"/>
    </row>
    <row r="109" s="1" customFormat="true" ht="11.25" hidden="false" customHeight="false" outlineLevel="0" collapsed="false">
      <c r="C109" s="2"/>
      <c r="E109" s="2"/>
      <c r="F109" s="2"/>
    </row>
    <row r="110" s="1" customFormat="true" ht="11.25" hidden="false" customHeight="false" outlineLevel="0" collapsed="false">
      <c r="C110" s="2"/>
      <c r="E110" s="2"/>
      <c r="F110" s="2"/>
    </row>
    <row r="111" s="1" customFormat="true" ht="11.25" hidden="false" customHeight="false" outlineLevel="0" collapsed="false">
      <c r="C111" s="2"/>
      <c r="E111" s="2"/>
      <c r="F111" s="2"/>
    </row>
    <row r="112" s="1" customFormat="true" ht="11.25" hidden="false" customHeight="false" outlineLevel="0" collapsed="false">
      <c r="C112" s="2"/>
      <c r="E112" s="2"/>
      <c r="F112" s="2"/>
    </row>
    <row r="113" s="1" customFormat="true" ht="11.25" hidden="false" customHeight="false" outlineLevel="0" collapsed="false">
      <c r="C113" s="2"/>
      <c r="E113" s="2"/>
      <c r="F113" s="2"/>
    </row>
    <row r="114" s="1" customFormat="true" ht="11.25" hidden="false" customHeight="false" outlineLevel="0" collapsed="false">
      <c r="C114" s="2"/>
      <c r="E114" s="2"/>
      <c r="F114" s="2"/>
    </row>
    <row r="115" s="1" customFormat="true" ht="11.25" hidden="false" customHeight="false" outlineLevel="0" collapsed="false">
      <c r="C115" s="2"/>
      <c r="E115" s="2"/>
      <c r="F115" s="2"/>
    </row>
    <row r="116" s="1" customFormat="true" ht="11.25" hidden="false" customHeight="false" outlineLevel="0" collapsed="false">
      <c r="C116" s="2"/>
      <c r="E116" s="2"/>
      <c r="F116" s="2"/>
    </row>
    <row r="117" s="1" customFormat="true" ht="11.25" hidden="false" customHeight="false" outlineLevel="0" collapsed="false">
      <c r="C117" s="2"/>
      <c r="E117" s="2"/>
      <c r="F117" s="2"/>
    </row>
    <row r="118" s="1" customFormat="true" ht="11.25" hidden="false" customHeight="false" outlineLevel="0" collapsed="false">
      <c r="C118" s="2"/>
      <c r="E118" s="2"/>
      <c r="F118" s="2"/>
    </row>
    <row r="119" s="1" customFormat="true" ht="11.25" hidden="false" customHeight="false" outlineLevel="0" collapsed="false">
      <c r="C119" s="2"/>
      <c r="E119" s="2"/>
      <c r="F119" s="2"/>
    </row>
    <row r="120" s="1" customFormat="true" ht="11.25" hidden="false" customHeight="false" outlineLevel="0" collapsed="false">
      <c r="C120" s="2"/>
      <c r="E120" s="2"/>
      <c r="F120" s="2"/>
    </row>
    <row r="121" s="1" customFormat="true" ht="11.25" hidden="false" customHeight="false" outlineLevel="0" collapsed="false">
      <c r="C121" s="2"/>
      <c r="E121" s="2"/>
      <c r="F121" s="2"/>
    </row>
    <row r="122" s="1" customFormat="true" ht="11.25" hidden="false" customHeight="false" outlineLevel="0" collapsed="false">
      <c r="C122" s="2"/>
      <c r="E122" s="2"/>
      <c r="F122" s="2"/>
    </row>
    <row r="123" s="1" customFormat="true" ht="11.25" hidden="false" customHeight="false" outlineLevel="0" collapsed="false">
      <c r="C123" s="2"/>
      <c r="E123" s="2"/>
      <c r="F123" s="2"/>
    </row>
    <row r="124" s="1" customFormat="true" ht="11.25" hidden="false" customHeight="false" outlineLevel="0" collapsed="false">
      <c r="C124" s="2"/>
      <c r="E124" s="2"/>
      <c r="F124" s="2"/>
    </row>
    <row r="125" s="1" customFormat="true" ht="11.25" hidden="false" customHeight="false" outlineLevel="0" collapsed="false">
      <c r="C125" s="2"/>
      <c r="E125" s="2"/>
      <c r="F125" s="2"/>
    </row>
    <row r="126" s="1" customFormat="true" ht="11.25" hidden="false" customHeight="false" outlineLevel="0" collapsed="false">
      <c r="C126" s="2"/>
      <c r="E126" s="2"/>
      <c r="F126" s="2"/>
    </row>
    <row r="127" s="1" customFormat="true" ht="11.25" hidden="false" customHeight="false" outlineLevel="0" collapsed="false">
      <c r="C127" s="2"/>
      <c r="E127" s="2"/>
      <c r="F127" s="2"/>
    </row>
    <row r="128" s="1" customFormat="true" ht="11.25" hidden="false" customHeight="false" outlineLevel="0" collapsed="false">
      <c r="C128" s="2"/>
      <c r="E128" s="2"/>
      <c r="F128" s="2"/>
    </row>
    <row r="129" s="1" customFormat="true" ht="11.25" hidden="false" customHeight="false" outlineLevel="0" collapsed="false">
      <c r="C129" s="2"/>
      <c r="E129" s="2"/>
      <c r="F129" s="2"/>
    </row>
    <row r="130" s="1" customFormat="true" ht="11.25" hidden="false" customHeight="false" outlineLevel="0" collapsed="false">
      <c r="C130" s="2"/>
      <c r="E130" s="2"/>
      <c r="F130" s="2"/>
    </row>
    <row r="131" s="1" customFormat="true" ht="11.25" hidden="false" customHeight="false" outlineLevel="0" collapsed="false">
      <c r="C131" s="2"/>
      <c r="E131" s="2"/>
      <c r="F131" s="2"/>
    </row>
    <row r="132" s="1" customFormat="true" ht="11.25" hidden="false" customHeight="false" outlineLevel="0" collapsed="false">
      <c r="C132" s="2"/>
      <c r="E132" s="2"/>
      <c r="F132" s="2"/>
    </row>
    <row r="133" s="1" customFormat="true" ht="11.25" hidden="false" customHeight="false" outlineLevel="0" collapsed="false">
      <c r="C133" s="2"/>
      <c r="E133" s="2"/>
      <c r="F133" s="2"/>
    </row>
    <row r="134" s="1" customFormat="true" ht="11.25" hidden="false" customHeight="false" outlineLevel="0" collapsed="false">
      <c r="C134" s="2"/>
      <c r="E134" s="2"/>
      <c r="F134" s="2"/>
    </row>
    <row r="135" s="1" customFormat="true" ht="11.25" hidden="false" customHeight="false" outlineLevel="0" collapsed="false">
      <c r="C135" s="2"/>
      <c r="E135" s="2"/>
      <c r="F135" s="2"/>
    </row>
    <row r="136" s="1" customFormat="true" ht="11.25" hidden="false" customHeight="false" outlineLevel="0" collapsed="false">
      <c r="C136" s="2"/>
      <c r="E136" s="2"/>
      <c r="F136" s="2"/>
    </row>
    <row r="137" s="1" customFormat="true" ht="11.25" hidden="false" customHeight="false" outlineLevel="0" collapsed="false">
      <c r="C137" s="2"/>
      <c r="E137" s="2"/>
      <c r="F137" s="2"/>
    </row>
    <row r="138" s="1" customFormat="true" ht="11.25" hidden="false" customHeight="false" outlineLevel="0" collapsed="false">
      <c r="C138" s="2"/>
      <c r="E138" s="2"/>
      <c r="F138" s="2"/>
    </row>
    <row r="139" s="1" customFormat="true" ht="11.25" hidden="false" customHeight="false" outlineLevel="0" collapsed="false">
      <c r="C139" s="2"/>
      <c r="E139" s="2"/>
      <c r="F139" s="2"/>
    </row>
    <row r="140" s="1" customFormat="true" ht="11.25" hidden="false" customHeight="false" outlineLevel="0" collapsed="false">
      <c r="C140" s="2"/>
      <c r="E140" s="2"/>
      <c r="F140" s="2"/>
    </row>
    <row r="141" s="1" customFormat="true" ht="11.25" hidden="false" customHeight="false" outlineLevel="0" collapsed="false">
      <c r="C141" s="2"/>
      <c r="E141" s="2"/>
      <c r="F141" s="2"/>
    </row>
    <row r="142" s="1" customFormat="true" ht="11.25" hidden="false" customHeight="false" outlineLevel="0" collapsed="false">
      <c r="C142" s="2"/>
      <c r="E142" s="2"/>
      <c r="F142" s="2"/>
    </row>
    <row r="143" s="1" customFormat="true" ht="11.25" hidden="false" customHeight="false" outlineLevel="0" collapsed="false">
      <c r="C143" s="2"/>
      <c r="E143" s="2"/>
      <c r="F143" s="2"/>
    </row>
    <row r="144" s="1" customFormat="true" ht="11.25" hidden="false" customHeight="false" outlineLevel="0" collapsed="false">
      <c r="C144" s="2"/>
      <c r="E144" s="2"/>
      <c r="F144" s="2"/>
    </row>
    <row r="145" s="1" customFormat="true" ht="11.25" hidden="false" customHeight="false" outlineLevel="0" collapsed="false">
      <c r="C145" s="2"/>
      <c r="E145" s="2"/>
      <c r="F145" s="2"/>
    </row>
    <row r="146" s="1" customFormat="true" ht="11.25" hidden="false" customHeight="false" outlineLevel="0" collapsed="false">
      <c r="C146" s="2"/>
      <c r="E146" s="2"/>
      <c r="F146" s="2"/>
    </row>
    <row r="147" s="1" customFormat="true" ht="11.25" hidden="false" customHeight="false" outlineLevel="0" collapsed="false">
      <c r="C147" s="2"/>
      <c r="E147" s="2"/>
      <c r="F147" s="2"/>
    </row>
    <row r="148" s="1" customFormat="true" ht="11.25" hidden="false" customHeight="false" outlineLevel="0" collapsed="false">
      <c r="C148" s="2"/>
      <c r="E148" s="2"/>
      <c r="F148" s="2"/>
    </row>
    <row r="149" s="1" customFormat="true" ht="11.25" hidden="false" customHeight="false" outlineLevel="0" collapsed="false">
      <c r="C149" s="2"/>
      <c r="E149" s="2"/>
      <c r="F149" s="2"/>
    </row>
    <row r="150" s="1" customFormat="true" ht="11.25" hidden="false" customHeight="false" outlineLevel="0" collapsed="false">
      <c r="C150" s="2"/>
      <c r="E150" s="2"/>
      <c r="F150" s="2"/>
    </row>
    <row r="151" s="1" customFormat="true" ht="11.25" hidden="false" customHeight="false" outlineLevel="0" collapsed="false">
      <c r="C151" s="2"/>
      <c r="E151" s="2"/>
      <c r="F151" s="2"/>
    </row>
    <row r="152" s="1" customFormat="true" ht="11.25" hidden="false" customHeight="false" outlineLevel="0" collapsed="false">
      <c r="C152" s="2"/>
      <c r="E152" s="2"/>
      <c r="F152" s="2"/>
    </row>
    <row r="153" s="1" customFormat="true" ht="11.25" hidden="false" customHeight="false" outlineLevel="0" collapsed="false">
      <c r="C153" s="2"/>
      <c r="E153" s="2"/>
      <c r="F153" s="2"/>
    </row>
    <row r="154" s="1" customFormat="true" ht="11.25" hidden="false" customHeight="false" outlineLevel="0" collapsed="false">
      <c r="C154" s="2"/>
      <c r="E154" s="2"/>
      <c r="F154" s="2"/>
    </row>
    <row r="155" s="1" customFormat="true" ht="11.25" hidden="false" customHeight="false" outlineLevel="0" collapsed="false">
      <c r="C155" s="2"/>
      <c r="E155" s="2"/>
      <c r="F155" s="2"/>
    </row>
    <row r="156" s="1" customFormat="true" ht="11.25" hidden="false" customHeight="false" outlineLevel="0" collapsed="false">
      <c r="C156" s="2"/>
      <c r="E156" s="2"/>
      <c r="F156" s="2"/>
    </row>
    <row r="157" s="1" customFormat="true" ht="11.25" hidden="false" customHeight="false" outlineLevel="0" collapsed="false">
      <c r="C157" s="2"/>
      <c r="E157" s="2"/>
      <c r="F157" s="2"/>
    </row>
    <row r="158" s="1" customFormat="true" ht="11.25" hidden="false" customHeight="false" outlineLevel="0" collapsed="false">
      <c r="C158" s="2"/>
      <c r="E158" s="2"/>
      <c r="F158" s="2"/>
    </row>
    <row r="159" s="1" customFormat="true" ht="11.25" hidden="false" customHeight="false" outlineLevel="0" collapsed="false">
      <c r="C159" s="2"/>
      <c r="E159" s="2"/>
      <c r="F159" s="2"/>
    </row>
    <row r="160" s="1" customFormat="true" ht="11.25" hidden="false" customHeight="false" outlineLevel="0" collapsed="false">
      <c r="C160" s="2"/>
      <c r="E160" s="2"/>
      <c r="F160" s="2"/>
    </row>
    <row r="161" s="1" customFormat="true" ht="11.25" hidden="false" customHeight="false" outlineLevel="0" collapsed="false">
      <c r="C161" s="2"/>
      <c r="E161" s="2"/>
      <c r="F161" s="2"/>
    </row>
    <row r="162" s="1" customFormat="true" ht="11.25" hidden="false" customHeight="false" outlineLevel="0" collapsed="false">
      <c r="C162" s="2"/>
      <c r="E162" s="2"/>
      <c r="F162" s="2"/>
    </row>
    <row r="163" s="1" customFormat="true" ht="11.25" hidden="false" customHeight="false" outlineLevel="0" collapsed="false">
      <c r="C163" s="2"/>
      <c r="E163" s="2"/>
      <c r="F163" s="2"/>
    </row>
    <row r="164" s="1" customFormat="true" ht="11.25" hidden="false" customHeight="false" outlineLevel="0" collapsed="false">
      <c r="C164" s="2"/>
      <c r="E164" s="2"/>
      <c r="F164" s="2"/>
    </row>
    <row r="165" s="1" customFormat="true" ht="11.25" hidden="false" customHeight="false" outlineLevel="0" collapsed="false">
      <c r="C165" s="2"/>
      <c r="E165" s="2"/>
      <c r="F165" s="2"/>
    </row>
    <row r="166" s="1" customFormat="true" ht="11.25" hidden="false" customHeight="false" outlineLevel="0" collapsed="false">
      <c r="C166" s="2"/>
      <c r="E166" s="2"/>
      <c r="F166" s="2"/>
    </row>
    <row r="167" s="1" customFormat="true" ht="11.25" hidden="false" customHeight="false" outlineLevel="0" collapsed="false">
      <c r="C167" s="2"/>
      <c r="E167" s="2"/>
      <c r="F167" s="2"/>
    </row>
    <row r="168" s="1" customFormat="true" ht="11.25" hidden="false" customHeight="false" outlineLevel="0" collapsed="false">
      <c r="C168" s="2"/>
      <c r="E168" s="2"/>
      <c r="F168" s="2"/>
    </row>
    <row r="169" s="1" customFormat="true" ht="11.25" hidden="false" customHeight="false" outlineLevel="0" collapsed="false">
      <c r="C169" s="2"/>
      <c r="E169" s="2"/>
      <c r="F169" s="2"/>
    </row>
    <row r="170" s="1" customFormat="true" ht="11.25" hidden="false" customHeight="false" outlineLevel="0" collapsed="false">
      <c r="C170" s="2"/>
      <c r="E170" s="2"/>
      <c r="F170" s="2"/>
    </row>
    <row r="171" s="1" customFormat="true" ht="11.25" hidden="false" customHeight="false" outlineLevel="0" collapsed="false">
      <c r="C171" s="2"/>
      <c r="E171" s="2"/>
      <c r="F171" s="2"/>
    </row>
    <row r="172" s="1" customFormat="true" ht="11.25" hidden="false" customHeight="false" outlineLevel="0" collapsed="false">
      <c r="C172" s="2"/>
      <c r="E172" s="2"/>
      <c r="F172" s="2"/>
    </row>
    <row r="173" s="1" customFormat="true" ht="11.25" hidden="false" customHeight="false" outlineLevel="0" collapsed="false">
      <c r="C173" s="2"/>
      <c r="E173" s="2"/>
      <c r="F173" s="2"/>
    </row>
    <row r="174" s="1" customFormat="true" ht="11.25" hidden="false" customHeight="false" outlineLevel="0" collapsed="false">
      <c r="C174" s="2"/>
      <c r="E174" s="2"/>
      <c r="F174" s="2"/>
    </row>
    <row r="175" s="1" customFormat="true" ht="11.25" hidden="false" customHeight="false" outlineLevel="0" collapsed="false">
      <c r="C175" s="2"/>
      <c r="E175" s="2"/>
      <c r="F175" s="2"/>
    </row>
    <row r="176" s="1" customFormat="true" ht="11.25" hidden="false" customHeight="false" outlineLevel="0" collapsed="false">
      <c r="C176" s="2"/>
      <c r="E176" s="2"/>
      <c r="F176" s="2"/>
    </row>
    <row r="177" s="1" customFormat="true" ht="11.25" hidden="false" customHeight="false" outlineLevel="0" collapsed="false">
      <c r="C177" s="2"/>
      <c r="E177" s="2"/>
      <c r="F177" s="2"/>
    </row>
    <row r="178" s="1" customFormat="true" ht="11.25" hidden="false" customHeight="false" outlineLevel="0" collapsed="false">
      <c r="C178" s="2"/>
      <c r="E178" s="2"/>
      <c r="F178" s="2"/>
    </row>
    <row r="179" s="1" customFormat="true" ht="11.25" hidden="false" customHeight="false" outlineLevel="0" collapsed="false">
      <c r="C179" s="2"/>
      <c r="E179" s="2"/>
      <c r="F179" s="2"/>
    </row>
    <row r="180" s="1" customFormat="true" ht="11.25" hidden="false" customHeight="false" outlineLevel="0" collapsed="false">
      <c r="C180" s="2"/>
      <c r="E180" s="2"/>
      <c r="F180" s="2"/>
    </row>
    <row r="181" s="1" customFormat="true" ht="11.25" hidden="false" customHeight="false" outlineLevel="0" collapsed="false">
      <c r="C181" s="2"/>
      <c r="E181" s="2"/>
      <c r="F181" s="2"/>
    </row>
    <row r="182" s="1" customFormat="true" ht="11.25" hidden="false" customHeight="false" outlineLevel="0" collapsed="false">
      <c r="C182" s="2"/>
      <c r="E182" s="2"/>
      <c r="F182" s="2"/>
    </row>
    <row r="183" s="1" customFormat="true" ht="11.25" hidden="false" customHeight="false" outlineLevel="0" collapsed="false">
      <c r="C183" s="2"/>
      <c r="E183" s="2"/>
      <c r="F183" s="2"/>
    </row>
    <row r="184" s="1" customFormat="true" ht="11.25" hidden="false" customHeight="false" outlineLevel="0" collapsed="false">
      <c r="C184" s="2"/>
      <c r="E184" s="2"/>
      <c r="F184" s="2"/>
    </row>
    <row r="185" s="1" customFormat="true" ht="11.25" hidden="false" customHeight="false" outlineLevel="0" collapsed="false">
      <c r="C185" s="2"/>
      <c r="E185" s="2"/>
      <c r="F185" s="2"/>
    </row>
    <row r="186" s="1" customFormat="true" ht="11.25" hidden="false" customHeight="false" outlineLevel="0" collapsed="false">
      <c r="C186" s="2"/>
      <c r="E186" s="2"/>
      <c r="F186" s="2"/>
    </row>
    <row r="187" s="1" customFormat="true" ht="11.25" hidden="false" customHeight="false" outlineLevel="0" collapsed="false">
      <c r="C187" s="2"/>
      <c r="E187" s="2"/>
      <c r="F187" s="2"/>
    </row>
    <row r="188" s="1" customFormat="true" ht="11.25" hidden="false" customHeight="false" outlineLevel="0" collapsed="false">
      <c r="C188" s="2"/>
      <c r="E188" s="2"/>
      <c r="F188" s="2"/>
    </row>
    <row r="189" s="1" customFormat="true" ht="11.25" hidden="false" customHeight="false" outlineLevel="0" collapsed="false">
      <c r="C189" s="2"/>
      <c r="E189" s="2"/>
      <c r="F189" s="2"/>
    </row>
    <row r="190" s="1" customFormat="true" ht="11.25" hidden="false" customHeight="false" outlineLevel="0" collapsed="false">
      <c r="C190" s="2"/>
      <c r="E190" s="2"/>
      <c r="F190" s="2"/>
    </row>
    <row r="191" s="1" customFormat="true" ht="11.25" hidden="false" customHeight="false" outlineLevel="0" collapsed="false">
      <c r="C191" s="2"/>
      <c r="E191" s="2"/>
      <c r="F191" s="2"/>
    </row>
    <row r="192" s="1" customFormat="true" ht="11.25" hidden="false" customHeight="false" outlineLevel="0" collapsed="false">
      <c r="C192" s="2"/>
      <c r="E192" s="2"/>
      <c r="F192" s="2"/>
    </row>
    <row r="193" s="1" customFormat="true" ht="11.25" hidden="false" customHeight="false" outlineLevel="0" collapsed="false">
      <c r="C193" s="2"/>
      <c r="E193" s="2"/>
      <c r="F193" s="2"/>
    </row>
    <row r="194" s="1" customFormat="true" ht="11.25" hidden="false" customHeight="false" outlineLevel="0" collapsed="false">
      <c r="C194" s="2"/>
      <c r="E194" s="2"/>
      <c r="F194" s="2"/>
    </row>
    <row r="195" s="1" customFormat="true" ht="11.25" hidden="false" customHeight="false" outlineLevel="0" collapsed="false">
      <c r="C195" s="2"/>
      <c r="E195" s="2"/>
      <c r="F195" s="2"/>
    </row>
    <row r="196" s="1" customFormat="true" ht="11.25" hidden="false" customHeight="false" outlineLevel="0" collapsed="false">
      <c r="C196" s="2"/>
      <c r="E196" s="2"/>
      <c r="F196" s="2"/>
    </row>
    <row r="197" s="1" customFormat="true" ht="11.25" hidden="false" customHeight="false" outlineLevel="0" collapsed="false">
      <c r="C197" s="2"/>
      <c r="E197" s="2"/>
      <c r="F197" s="2"/>
    </row>
    <row r="198" s="1" customFormat="true" ht="11.25" hidden="false" customHeight="false" outlineLevel="0" collapsed="false">
      <c r="C198" s="2"/>
      <c r="E198" s="2"/>
      <c r="F198" s="2"/>
    </row>
    <row r="199" s="1" customFormat="true" ht="11.25" hidden="false" customHeight="false" outlineLevel="0" collapsed="false">
      <c r="C199" s="2"/>
      <c r="E199" s="2"/>
      <c r="F199" s="2"/>
    </row>
    <row r="200" s="1" customFormat="true" ht="11.25" hidden="false" customHeight="false" outlineLevel="0" collapsed="false">
      <c r="C200" s="2"/>
      <c r="E200" s="2"/>
      <c r="F200" s="2"/>
    </row>
    <row r="201" s="1" customFormat="true" ht="11.25" hidden="false" customHeight="false" outlineLevel="0" collapsed="false">
      <c r="C201" s="2"/>
      <c r="E201" s="2"/>
      <c r="F201" s="2"/>
    </row>
    <row r="202" s="1" customFormat="true" ht="11.25" hidden="false" customHeight="false" outlineLevel="0" collapsed="false">
      <c r="C202" s="2"/>
      <c r="E202" s="2"/>
      <c r="F202" s="2"/>
    </row>
    <row r="203" s="1" customFormat="true" ht="11.25" hidden="false" customHeight="false" outlineLevel="0" collapsed="false">
      <c r="C203" s="2"/>
      <c r="E203" s="2"/>
      <c r="F203" s="2"/>
    </row>
    <row r="204" s="1" customFormat="true" ht="11.25" hidden="false" customHeight="false" outlineLevel="0" collapsed="false">
      <c r="C204" s="2"/>
      <c r="E204" s="2"/>
      <c r="F204" s="2"/>
    </row>
    <row r="205" s="1" customFormat="true" ht="11.25" hidden="false" customHeight="false" outlineLevel="0" collapsed="false">
      <c r="C205" s="2"/>
      <c r="E205" s="2"/>
      <c r="F205" s="2"/>
    </row>
    <row r="206" s="1" customFormat="true" ht="11.25" hidden="false" customHeight="false" outlineLevel="0" collapsed="false">
      <c r="C206" s="2"/>
      <c r="E206" s="2"/>
      <c r="F206" s="2"/>
    </row>
    <row r="207" s="1" customFormat="true" ht="11.25" hidden="false" customHeight="false" outlineLevel="0" collapsed="false">
      <c r="C207" s="2"/>
      <c r="E207" s="2"/>
      <c r="F207" s="2"/>
    </row>
    <row r="208" s="1" customFormat="true" ht="11.25" hidden="false" customHeight="false" outlineLevel="0" collapsed="false">
      <c r="C208" s="2"/>
      <c r="E208" s="2"/>
      <c r="F208" s="2"/>
    </row>
    <row r="209" s="1" customFormat="true" ht="11.25" hidden="false" customHeight="false" outlineLevel="0" collapsed="false">
      <c r="C209" s="2"/>
      <c r="E209" s="2"/>
      <c r="F209" s="2"/>
    </row>
    <row r="210" s="1" customFormat="true" ht="11.25" hidden="false" customHeight="false" outlineLevel="0" collapsed="false">
      <c r="C210" s="2"/>
      <c r="E210" s="2"/>
      <c r="F210" s="2"/>
    </row>
    <row r="211" s="1" customFormat="true" ht="11.25" hidden="false" customHeight="false" outlineLevel="0" collapsed="false">
      <c r="C211" s="2"/>
      <c r="E211" s="2"/>
      <c r="F211" s="2"/>
    </row>
    <row r="212" s="1" customFormat="true" ht="11.25" hidden="false" customHeight="false" outlineLevel="0" collapsed="false">
      <c r="C212" s="2"/>
      <c r="E212" s="2"/>
      <c r="F212" s="2"/>
    </row>
    <row r="213" s="1" customFormat="true" ht="11.25" hidden="false" customHeight="false" outlineLevel="0" collapsed="false">
      <c r="C213" s="2"/>
      <c r="E213" s="2"/>
      <c r="F213" s="2"/>
    </row>
    <row r="214" s="1" customFormat="true" ht="11.25" hidden="false" customHeight="false" outlineLevel="0" collapsed="false">
      <c r="C214" s="2"/>
      <c r="E214" s="2"/>
      <c r="F214" s="2"/>
    </row>
    <row r="215" s="1" customFormat="true" ht="11.25" hidden="false" customHeight="false" outlineLevel="0" collapsed="false">
      <c r="C215" s="2"/>
      <c r="E215" s="2"/>
      <c r="F215" s="2"/>
    </row>
    <row r="216" s="1" customFormat="true" ht="11.25" hidden="false" customHeight="false" outlineLevel="0" collapsed="false">
      <c r="C216" s="2"/>
      <c r="E216" s="2"/>
      <c r="F216" s="2"/>
    </row>
    <row r="217" s="1" customFormat="true" ht="11.25" hidden="false" customHeight="false" outlineLevel="0" collapsed="false">
      <c r="C217" s="2"/>
      <c r="E217" s="2"/>
      <c r="F217" s="2"/>
    </row>
    <row r="218" s="1" customFormat="true" ht="11.25" hidden="false" customHeight="false" outlineLevel="0" collapsed="false">
      <c r="C218" s="2"/>
      <c r="E218" s="2"/>
      <c r="F218" s="2"/>
    </row>
    <row r="219" s="1" customFormat="true" ht="11.25" hidden="false" customHeight="false" outlineLevel="0" collapsed="false">
      <c r="C219" s="2"/>
      <c r="E219" s="2"/>
      <c r="F219" s="2"/>
    </row>
    <row r="220" s="1" customFormat="true" ht="11.25" hidden="false" customHeight="false" outlineLevel="0" collapsed="false">
      <c r="C220" s="2"/>
      <c r="E220" s="2"/>
      <c r="F220" s="2"/>
    </row>
    <row r="221" s="1" customFormat="true" ht="11.25" hidden="false" customHeight="false" outlineLevel="0" collapsed="false">
      <c r="C221" s="2"/>
      <c r="E221" s="2"/>
      <c r="F221" s="2"/>
    </row>
    <row r="222" s="1" customFormat="true" ht="11.25" hidden="false" customHeight="false" outlineLevel="0" collapsed="false">
      <c r="C222" s="2"/>
      <c r="E222" s="2"/>
      <c r="F222" s="2"/>
    </row>
    <row r="223" s="1" customFormat="true" ht="11.25" hidden="false" customHeight="false" outlineLevel="0" collapsed="false">
      <c r="C223" s="2"/>
      <c r="E223" s="2"/>
      <c r="F223" s="2"/>
    </row>
    <row r="224" s="1" customFormat="true" ht="11.25" hidden="false" customHeight="false" outlineLevel="0" collapsed="false">
      <c r="C224" s="2"/>
      <c r="E224" s="2"/>
      <c r="F224" s="2"/>
    </row>
    <row r="225" s="1" customFormat="true" ht="11.25" hidden="false" customHeight="false" outlineLevel="0" collapsed="false">
      <c r="C225" s="2"/>
      <c r="E225" s="2"/>
      <c r="F225" s="2"/>
    </row>
    <row r="226" s="1" customFormat="true" ht="11.25" hidden="false" customHeight="false" outlineLevel="0" collapsed="false">
      <c r="C226" s="2"/>
      <c r="E226" s="2"/>
      <c r="F226" s="2"/>
    </row>
    <row r="227" s="1" customFormat="true" ht="11.25" hidden="false" customHeight="false" outlineLevel="0" collapsed="false">
      <c r="C227" s="2"/>
      <c r="E227" s="2"/>
      <c r="F227" s="2"/>
    </row>
    <row r="228" s="1" customFormat="true" ht="11.25" hidden="false" customHeight="false" outlineLevel="0" collapsed="false">
      <c r="C228" s="2"/>
      <c r="E228" s="2"/>
      <c r="F228" s="2"/>
    </row>
    <row r="229" s="1" customFormat="true" ht="11.25" hidden="false" customHeight="false" outlineLevel="0" collapsed="false">
      <c r="C229" s="2"/>
      <c r="E229" s="2"/>
      <c r="F229" s="2"/>
    </row>
    <row r="230" s="1" customFormat="true" ht="11.25" hidden="false" customHeight="false" outlineLevel="0" collapsed="false">
      <c r="C230" s="2"/>
      <c r="E230" s="2"/>
      <c r="F230" s="2"/>
    </row>
    <row r="231" s="1" customFormat="true" ht="11.25" hidden="false" customHeight="false" outlineLevel="0" collapsed="false">
      <c r="C231" s="2"/>
      <c r="E231" s="2"/>
      <c r="F231" s="2"/>
    </row>
    <row r="232" s="1" customFormat="true" ht="11.25" hidden="false" customHeight="false" outlineLevel="0" collapsed="false">
      <c r="C232" s="2"/>
      <c r="E232" s="2"/>
      <c r="F232" s="2"/>
    </row>
    <row r="233" s="1" customFormat="true" ht="11.25" hidden="false" customHeight="false" outlineLevel="0" collapsed="false">
      <c r="C233" s="2"/>
      <c r="E233" s="2"/>
      <c r="F233" s="2"/>
    </row>
    <row r="234" s="1" customFormat="true" ht="11.25" hidden="false" customHeight="false" outlineLevel="0" collapsed="false">
      <c r="C234" s="2"/>
      <c r="E234" s="2"/>
      <c r="F234" s="2"/>
    </row>
    <row r="235" s="1" customFormat="true" ht="11.25" hidden="false" customHeight="false" outlineLevel="0" collapsed="false">
      <c r="C235" s="2"/>
      <c r="E235" s="2"/>
      <c r="F235" s="2"/>
    </row>
    <row r="236" s="1" customFormat="true" ht="11.25" hidden="false" customHeight="false" outlineLevel="0" collapsed="false">
      <c r="C236" s="2"/>
      <c r="E236" s="2"/>
      <c r="F236" s="2"/>
    </row>
    <row r="237" s="1" customFormat="true" ht="11.25" hidden="false" customHeight="false" outlineLevel="0" collapsed="false">
      <c r="C237" s="2"/>
      <c r="E237" s="2"/>
      <c r="F237" s="2"/>
    </row>
    <row r="238" s="1" customFormat="true" ht="11.25" hidden="false" customHeight="false" outlineLevel="0" collapsed="false">
      <c r="C238" s="2"/>
      <c r="E238" s="2"/>
      <c r="F238" s="2"/>
    </row>
    <row r="239" s="1" customFormat="true" ht="11.25" hidden="false" customHeight="false" outlineLevel="0" collapsed="false">
      <c r="C239" s="2"/>
      <c r="E239" s="2"/>
      <c r="F239" s="2"/>
    </row>
    <row r="240" s="1" customFormat="true" ht="11.25" hidden="false" customHeight="false" outlineLevel="0" collapsed="false">
      <c r="C240" s="2"/>
      <c r="E240" s="2"/>
      <c r="F240" s="2"/>
    </row>
    <row r="241" s="1" customFormat="true" ht="11.25" hidden="false" customHeight="false" outlineLevel="0" collapsed="false">
      <c r="C241" s="2"/>
      <c r="E241" s="2"/>
      <c r="F241" s="2"/>
    </row>
    <row r="242" s="1" customFormat="true" ht="11.25" hidden="false" customHeight="false" outlineLevel="0" collapsed="false">
      <c r="C242" s="2"/>
      <c r="E242" s="2"/>
      <c r="F242" s="2"/>
    </row>
    <row r="243" s="1" customFormat="true" ht="11.25" hidden="false" customHeight="false" outlineLevel="0" collapsed="false">
      <c r="C243" s="2"/>
      <c r="E243" s="2"/>
      <c r="F243" s="2"/>
    </row>
    <row r="244" s="1" customFormat="true" ht="11.25" hidden="false" customHeight="false" outlineLevel="0" collapsed="false">
      <c r="C244" s="2"/>
      <c r="E244" s="2"/>
      <c r="F244" s="2"/>
    </row>
    <row r="245" s="1" customFormat="true" ht="11.25" hidden="false" customHeight="false" outlineLevel="0" collapsed="false">
      <c r="C245" s="2"/>
      <c r="E245" s="2"/>
      <c r="F245" s="2"/>
    </row>
    <row r="246" s="1" customFormat="true" ht="11.25" hidden="false" customHeight="false" outlineLevel="0" collapsed="false">
      <c r="C246" s="2"/>
      <c r="E246" s="2"/>
      <c r="F246" s="2"/>
    </row>
    <row r="247" s="1" customFormat="true" ht="11.25" hidden="false" customHeight="false" outlineLevel="0" collapsed="false">
      <c r="C247" s="2"/>
      <c r="E247" s="2"/>
      <c r="F247" s="2"/>
    </row>
    <row r="248" s="1" customFormat="true" ht="11.25" hidden="false" customHeight="false" outlineLevel="0" collapsed="false">
      <c r="C248" s="2"/>
      <c r="E248" s="2"/>
      <c r="F248" s="2"/>
    </row>
    <row r="249" s="1" customFormat="true" ht="11.25" hidden="false" customHeight="false" outlineLevel="0" collapsed="false">
      <c r="C249" s="2"/>
      <c r="E249" s="2"/>
      <c r="F249" s="2"/>
    </row>
    <row r="250" s="1" customFormat="true" ht="11.25" hidden="false" customHeight="false" outlineLevel="0" collapsed="false">
      <c r="C250" s="2"/>
      <c r="E250" s="2"/>
      <c r="F250" s="2"/>
    </row>
    <row r="251" s="1" customFormat="true" ht="11.25" hidden="false" customHeight="false" outlineLevel="0" collapsed="false">
      <c r="C251" s="2"/>
      <c r="E251" s="2"/>
      <c r="F251" s="2"/>
    </row>
    <row r="252" s="1" customFormat="true" ht="11.25" hidden="false" customHeight="false" outlineLevel="0" collapsed="false">
      <c r="C252" s="2"/>
      <c r="E252" s="2"/>
      <c r="F252" s="2"/>
    </row>
    <row r="253" s="1" customFormat="true" ht="11.25" hidden="false" customHeight="false" outlineLevel="0" collapsed="false">
      <c r="C253" s="2"/>
      <c r="E253" s="2"/>
      <c r="F253" s="2"/>
    </row>
    <row r="254" s="1" customFormat="true" ht="11.25" hidden="false" customHeight="false" outlineLevel="0" collapsed="false">
      <c r="C254" s="2"/>
      <c r="E254" s="2"/>
      <c r="F254" s="2"/>
    </row>
    <row r="255" s="1" customFormat="true" ht="11.25" hidden="false" customHeight="false" outlineLevel="0" collapsed="false">
      <c r="C255" s="2"/>
      <c r="E255" s="2"/>
      <c r="F255" s="2"/>
    </row>
    <row r="256" s="1" customFormat="true" ht="11.25" hidden="false" customHeight="false" outlineLevel="0" collapsed="false">
      <c r="C256" s="2"/>
      <c r="E256" s="2"/>
      <c r="F256" s="2"/>
    </row>
    <row r="257" s="1" customFormat="true" ht="11.25" hidden="false" customHeight="false" outlineLevel="0" collapsed="false">
      <c r="C257" s="2"/>
      <c r="E257" s="2"/>
      <c r="F257" s="2"/>
    </row>
    <row r="258" s="1" customFormat="true" ht="11.25" hidden="false" customHeight="false" outlineLevel="0" collapsed="false">
      <c r="C258" s="2"/>
      <c r="E258" s="2"/>
      <c r="F258" s="2"/>
    </row>
    <row r="259" s="1" customFormat="true" ht="11.25" hidden="false" customHeight="false" outlineLevel="0" collapsed="false">
      <c r="C259" s="2"/>
      <c r="E259" s="2"/>
      <c r="F259" s="2"/>
    </row>
    <row r="260" s="1" customFormat="true" ht="11.25" hidden="false" customHeight="false" outlineLevel="0" collapsed="false">
      <c r="C260" s="2"/>
      <c r="E260" s="2"/>
      <c r="F260" s="2"/>
    </row>
    <row r="261" s="1" customFormat="true" ht="11.25" hidden="false" customHeight="false" outlineLevel="0" collapsed="false">
      <c r="C261" s="2"/>
      <c r="E261" s="2"/>
      <c r="F261" s="2"/>
    </row>
    <row r="262" s="1" customFormat="true" ht="11.25" hidden="false" customHeight="false" outlineLevel="0" collapsed="false">
      <c r="C262" s="2"/>
      <c r="E262" s="2"/>
      <c r="F262" s="2"/>
    </row>
    <row r="263" s="1" customFormat="true" ht="11.25" hidden="false" customHeight="false" outlineLevel="0" collapsed="false">
      <c r="C263" s="2"/>
      <c r="E263" s="2"/>
      <c r="F263" s="2"/>
    </row>
    <row r="264" s="1" customFormat="true" ht="11.25" hidden="false" customHeight="false" outlineLevel="0" collapsed="false">
      <c r="C264" s="2"/>
      <c r="E264" s="2"/>
      <c r="F264" s="2"/>
    </row>
    <row r="265" s="1" customFormat="true" ht="11.25" hidden="false" customHeight="false" outlineLevel="0" collapsed="false">
      <c r="C265" s="2"/>
      <c r="E265" s="2"/>
      <c r="F265" s="2"/>
    </row>
    <row r="266" s="1" customFormat="true" ht="11.25" hidden="false" customHeight="false" outlineLevel="0" collapsed="false">
      <c r="C266" s="2"/>
      <c r="E266" s="2"/>
      <c r="F266" s="2"/>
    </row>
    <row r="267" s="1" customFormat="true" ht="11.25" hidden="false" customHeight="false" outlineLevel="0" collapsed="false">
      <c r="C267" s="2"/>
      <c r="E267" s="2"/>
      <c r="F267" s="2"/>
    </row>
    <row r="268" s="1" customFormat="true" ht="11.25" hidden="false" customHeight="false" outlineLevel="0" collapsed="false">
      <c r="C268" s="2"/>
      <c r="E268" s="2"/>
      <c r="F268" s="2"/>
    </row>
    <row r="269" s="1" customFormat="true" ht="11.25" hidden="false" customHeight="false" outlineLevel="0" collapsed="false">
      <c r="C269" s="2"/>
      <c r="E269" s="2"/>
      <c r="F269" s="2"/>
    </row>
    <row r="270" s="1" customFormat="true" ht="11.25" hidden="false" customHeight="false" outlineLevel="0" collapsed="false">
      <c r="C270" s="2"/>
      <c r="E270" s="2"/>
      <c r="F270" s="2"/>
    </row>
    <row r="271" s="1" customFormat="true" ht="11.25" hidden="false" customHeight="false" outlineLevel="0" collapsed="false">
      <c r="C271" s="2"/>
      <c r="E271" s="2"/>
      <c r="F271" s="2"/>
    </row>
    <row r="272" s="1" customFormat="true" ht="11.25" hidden="false" customHeight="false" outlineLevel="0" collapsed="false">
      <c r="C272" s="2"/>
      <c r="E272" s="2"/>
      <c r="F272" s="2"/>
    </row>
    <row r="273" s="1" customFormat="true" ht="11.25" hidden="false" customHeight="false" outlineLevel="0" collapsed="false">
      <c r="C273" s="2"/>
      <c r="E273" s="2"/>
      <c r="F273" s="2"/>
    </row>
    <row r="274" s="1" customFormat="true" ht="11.25" hidden="false" customHeight="false" outlineLevel="0" collapsed="false">
      <c r="C274" s="2"/>
      <c r="E274" s="2"/>
      <c r="F274" s="2"/>
    </row>
    <row r="275" s="1" customFormat="true" ht="11.25" hidden="false" customHeight="false" outlineLevel="0" collapsed="false">
      <c r="C275" s="2"/>
      <c r="E275" s="2"/>
      <c r="F275" s="2"/>
    </row>
    <row r="276" s="1" customFormat="true" ht="11.25" hidden="false" customHeight="false" outlineLevel="0" collapsed="false">
      <c r="C276" s="2"/>
      <c r="E276" s="2"/>
      <c r="F276" s="2"/>
    </row>
    <row r="277" s="1" customFormat="true" ht="11.25" hidden="false" customHeight="false" outlineLevel="0" collapsed="false">
      <c r="C277" s="2"/>
      <c r="E277" s="2"/>
      <c r="F277" s="2"/>
    </row>
    <row r="278" s="1" customFormat="true" ht="11.25" hidden="false" customHeight="false" outlineLevel="0" collapsed="false">
      <c r="C278" s="2"/>
      <c r="E278" s="2"/>
      <c r="F278" s="2"/>
    </row>
    <row r="279" s="1" customFormat="true" ht="11.25" hidden="false" customHeight="false" outlineLevel="0" collapsed="false">
      <c r="C279" s="2"/>
      <c r="E279" s="2"/>
      <c r="F279" s="2"/>
    </row>
    <row r="280" s="1" customFormat="true" ht="11.25" hidden="false" customHeight="false" outlineLevel="0" collapsed="false">
      <c r="C280" s="2"/>
      <c r="E280" s="2"/>
      <c r="F280" s="2"/>
    </row>
    <row r="281" s="1" customFormat="true" ht="11.25" hidden="false" customHeight="false" outlineLevel="0" collapsed="false">
      <c r="C281" s="2"/>
      <c r="E281" s="2"/>
      <c r="F281" s="2"/>
    </row>
    <row r="282" s="1" customFormat="true" ht="11.25" hidden="false" customHeight="false" outlineLevel="0" collapsed="false">
      <c r="C282" s="2"/>
      <c r="E282" s="2"/>
      <c r="F282" s="2"/>
    </row>
    <row r="283" s="1" customFormat="true" ht="11.25" hidden="false" customHeight="false" outlineLevel="0" collapsed="false">
      <c r="C283" s="2"/>
      <c r="E283" s="2"/>
      <c r="F283" s="2"/>
    </row>
    <row r="284" s="1" customFormat="true" ht="11.25" hidden="false" customHeight="false" outlineLevel="0" collapsed="false">
      <c r="C284" s="2"/>
      <c r="E284" s="2"/>
      <c r="F284" s="2"/>
    </row>
    <row r="285" s="1" customFormat="true" ht="11.25" hidden="false" customHeight="false" outlineLevel="0" collapsed="false">
      <c r="C285" s="2"/>
      <c r="E285" s="2"/>
      <c r="F285" s="2"/>
    </row>
    <row r="286" s="1" customFormat="true" ht="11.25" hidden="false" customHeight="false" outlineLevel="0" collapsed="false">
      <c r="C286" s="2"/>
      <c r="E286" s="2"/>
      <c r="F286" s="2"/>
    </row>
    <row r="287" s="1" customFormat="true" ht="11.25" hidden="false" customHeight="false" outlineLevel="0" collapsed="false">
      <c r="C287" s="2"/>
      <c r="E287" s="2"/>
      <c r="F287" s="2"/>
    </row>
    <row r="288" s="1" customFormat="true" ht="11.25" hidden="false" customHeight="false" outlineLevel="0" collapsed="false">
      <c r="C288" s="2"/>
      <c r="E288" s="2"/>
      <c r="F288" s="2"/>
    </row>
    <row r="289" s="1" customFormat="true" ht="11.25" hidden="false" customHeight="false" outlineLevel="0" collapsed="false">
      <c r="C289" s="2"/>
      <c r="E289" s="2"/>
      <c r="F289" s="2"/>
    </row>
    <row r="290" s="1" customFormat="true" ht="11.25" hidden="false" customHeight="false" outlineLevel="0" collapsed="false">
      <c r="C290" s="2"/>
      <c r="E290" s="2"/>
      <c r="F290" s="2"/>
    </row>
    <row r="291" s="1" customFormat="true" ht="11.25" hidden="false" customHeight="false" outlineLevel="0" collapsed="false">
      <c r="C291" s="2"/>
      <c r="E291" s="2"/>
      <c r="F291" s="2"/>
    </row>
    <row r="292" s="1" customFormat="true" ht="11.25" hidden="false" customHeight="false" outlineLevel="0" collapsed="false">
      <c r="C292" s="2"/>
      <c r="E292" s="2"/>
      <c r="F292" s="2"/>
    </row>
    <row r="293" s="1" customFormat="true" ht="11.25" hidden="false" customHeight="false" outlineLevel="0" collapsed="false">
      <c r="C293" s="2"/>
      <c r="E293" s="2"/>
      <c r="F293" s="2"/>
    </row>
    <row r="294" s="1" customFormat="true" ht="11.25" hidden="false" customHeight="false" outlineLevel="0" collapsed="false">
      <c r="C294" s="2"/>
      <c r="E294" s="2"/>
      <c r="F294" s="2"/>
    </row>
    <row r="295" s="1" customFormat="true" ht="11.25" hidden="false" customHeight="false" outlineLevel="0" collapsed="false">
      <c r="C295" s="2"/>
      <c r="E295" s="2"/>
      <c r="F295" s="2"/>
    </row>
    <row r="296" s="1" customFormat="true" ht="11.25" hidden="false" customHeight="false" outlineLevel="0" collapsed="false">
      <c r="C296" s="2"/>
      <c r="E296" s="2"/>
      <c r="F296" s="2"/>
    </row>
    <row r="297" s="1" customFormat="true" ht="11.25" hidden="false" customHeight="false" outlineLevel="0" collapsed="false">
      <c r="C297" s="2"/>
      <c r="E297" s="2"/>
      <c r="F297" s="2"/>
    </row>
    <row r="298" s="1" customFormat="true" ht="11.25" hidden="false" customHeight="false" outlineLevel="0" collapsed="false">
      <c r="C298" s="2"/>
      <c r="E298" s="2"/>
      <c r="F298" s="2"/>
    </row>
    <row r="299" s="1" customFormat="true" ht="11.25" hidden="false" customHeight="false" outlineLevel="0" collapsed="false">
      <c r="C299" s="2"/>
      <c r="E299" s="2"/>
      <c r="F299" s="2"/>
    </row>
    <row r="300" s="1" customFormat="true" ht="11.25" hidden="false" customHeight="false" outlineLevel="0" collapsed="false">
      <c r="C300" s="2"/>
      <c r="E300" s="2"/>
      <c r="F300" s="2"/>
    </row>
    <row r="301" s="1" customFormat="true" ht="11.25" hidden="false" customHeight="false" outlineLevel="0" collapsed="false">
      <c r="C301" s="2"/>
      <c r="E301" s="2"/>
      <c r="F301" s="2"/>
    </row>
    <row r="302" s="1" customFormat="true" ht="11.25" hidden="false" customHeight="false" outlineLevel="0" collapsed="false">
      <c r="C302" s="2"/>
      <c r="E302" s="2"/>
      <c r="F302" s="2"/>
    </row>
    <row r="303" s="1" customFormat="true" ht="11.25" hidden="false" customHeight="false" outlineLevel="0" collapsed="false">
      <c r="C303" s="2"/>
      <c r="E303" s="2"/>
      <c r="F303" s="2"/>
    </row>
    <row r="304" s="1" customFormat="true" ht="11.25" hidden="false" customHeight="false" outlineLevel="0" collapsed="false">
      <c r="C304" s="2"/>
      <c r="E304" s="2"/>
      <c r="F304" s="2"/>
    </row>
    <row r="305" s="1" customFormat="true" ht="11.25" hidden="false" customHeight="false" outlineLevel="0" collapsed="false">
      <c r="C305" s="2"/>
      <c r="E305" s="2"/>
      <c r="F305" s="2"/>
    </row>
    <row r="306" s="1" customFormat="true" ht="11.25" hidden="false" customHeight="false" outlineLevel="0" collapsed="false">
      <c r="C306" s="2"/>
      <c r="E306" s="2"/>
      <c r="F306" s="2"/>
    </row>
    <row r="307" s="1" customFormat="true" ht="11.25" hidden="false" customHeight="false" outlineLevel="0" collapsed="false">
      <c r="C307" s="2"/>
      <c r="E307" s="2"/>
      <c r="F307" s="2"/>
    </row>
    <row r="308" s="1" customFormat="true" ht="11.25" hidden="false" customHeight="false" outlineLevel="0" collapsed="false">
      <c r="C308" s="2"/>
      <c r="E308" s="2"/>
      <c r="F308" s="2"/>
    </row>
    <row r="309" s="1" customFormat="true" ht="11.25" hidden="false" customHeight="false" outlineLevel="0" collapsed="false">
      <c r="C309" s="2"/>
      <c r="E309" s="2"/>
      <c r="F309" s="2"/>
    </row>
    <row r="310" s="1" customFormat="true" ht="11.25" hidden="false" customHeight="false" outlineLevel="0" collapsed="false">
      <c r="C310" s="2"/>
      <c r="E310" s="2"/>
      <c r="F310" s="2"/>
    </row>
    <row r="311" s="1" customFormat="true" ht="11.25" hidden="false" customHeight="false" outlineLevel="0" collapsed="false">
      <c r="C311" s="2"/>
      <c r="E311" s="2"/>
      <c r="F311" s="2"/>
    </row>
    <row r="312" s="1" customFormat="true" ht="11.25" hidden="false" customHeight="false" outlineLevel="0" collapsed="false">
      <c r="C312" s="2"/>
      <c r="E312" s="2"/>
      <c r="F312" s="2"/>
    </row>
    <row r="313" s="1" customFormat="true" ht="11.25" hidden="false" customHeight="false" outlineLevel="0" collapsed="false">
      <c r="C313" s="2"/>
      <c r="E313" s="2"/>
      <c r="F313" s="2"/>
    </row>
    <row r="314" s="1" customFormat="true" ht="11.25" hidden="false" customHeight="false" outlineLevel="0" collapsed="false">
      <c r="C314" s="2"/>
      <c r="E314" s="2"/>
      <c r="F314" s="2"/>
    </row>
    <row r="315" s="1" customFormat="true" ht="11.25" hidden="false" customHeight="false" outlineLevel="0" collapsed="false">
      <c r="C315" s="2"/>
      <c r="E315" s="2"/>
      <c r="F315" s="2"/>
    </row>
    <row r="316" s="1" customFormat="true" ht="11.25" hidden="false" customHeight="false" outlineLevel="0" collapsed="false">
      <c r="C316" s="2"/>
      <c r="E316" s="2"/>
      <c r="F316" s="2"/>
    </row>
    <row r="317" s="1" customFormat="true" ht="11.25" hidden="false" customHeight="false" outlineLevel="0" collapsed="false">
      <c r="C317" s="2"/>
      <c r="E317" s="2"/>
      <c r="F317" s="2"/>
    </row>
    <row r="318" s="1" customFormat="true" ht="11.25" hidden="false" customHeight="false" outlineLevel="0" collapsed="false">
      <c r="C318" s="2"/>
      <c r="E318" s="2"/>
      <c r="F318" s="2"/>
    </row>
    <row r="319" s="1" customFormat="true" ht="11.25" hidden="false" customHeight="false" outlineLevel="0" collapsed="false">
      <c r="C319" s="2"/>
      <c r="E319" s="2"/>
      <c r="F319" s="2"/>
    </row>
    <row r="320" s="1" customFormat="true" ht="11.25" hidden="false" customHeight="false" outlineLevel="0" collapsed="false">
      <c r="C320" s="2"/>
      <c r="E320" s="2"/>
      <c r="F320" s="2"/>
    </row>
    <row r="321" s="1" customFormat="true" ht="11.25" hidden="false" customHeight="false" outlineLevel="0" collapsed="false">
      <c r="C321" s="2"/>
      <c r="E321" s="2"/>
      <c r="F321" s="2"/>
    </row>
    <row r="322" s="1" customFormat="true" ht="11.25" hidden="false" customHeight="false" outlineLevel="0" collapsed="false">
      <c r="C322" s="2"/>
      <c r="E322" s="2"/>
      <c r="F322" s="2"/>
    </row>
    <row r="323" s="1" customFormat="true" ht="11.25" hidden="false" customHeight="false" outlineLevel="0" collapsed="false">
      <c r="C323" s="2"/>
      <c r="E323" s="2"/>
      <c r="F323" s="2"/>
    </row>
    <row r="324" s="1" customFormat="true" ht="11.25" hidden="false" customHeight="false" outlineLevel="0" collapsed="false">
      <c r="C324" s="2"/>
      <c r="E324" s="2"/>
      <c r="F324" s="2"/>
    </row>
    <row r="325" s="1" customFormat="true" ht="11.25" hidden="false" customHeight="false" outlineLevel="0" collapsed="false">
      <c r="C325" s="2"/>
      <c r="E325" s="2"/>
      <c r="F325" s="2"/>
    </row>
    <row r="326" s="1" customFormat="true" ht="11.25" hidden="false" customHeight="false" outlineLevel="0" collapsed="false">
      <c r="C326" s="2"/>
      <c r="E326" s="2"/>
      <c r="F326" s="2"/>
    </row>
    <row r="327" s="1" customFormat="true" ht="11.25" hidden="false" customHeight="false" outlineLevel="0" collapsed="false">
      <c r="C327" s="2"/>
      <c r="E327" s="2"/>
      <c r="F327" s="2"/>
    </row>
    <row r="328" s="1" customFormat="true" ht="11.25" hidden="false" customHeight="false" outlineLevel="0" collapsed="false">
      <c r="C328" s="2"/>
      <c r="E328" s="2"/>
      <c r="F328" s="2"/>
    </row>
    <row r="329" s="1" customFormat="true" ht="11.25" hidden="false" customHeight="false" outlineLevel="0" collapsed="false">
      <c r="C329" s="2"/>
      <c r="E329" s="2"/>
      <c r="F329" s="2"/>
    </row>
    <row r="330" s="1" customFormat="true" ht="11.25" hidden="false" customHeight="false" outlineLevel="0" collapsed="false">
      <c r="C330" s="2"/>
      <c r="E330" s="2"/>
      <c r="F330" s="2"/>
    </row>
    <row r="331" s="1" customFormat="true" ht="11.25" hidden="false" customHeight="false" outlineLevel="0" collapsed="false">
      <c r="C331" s="2"/>
      <c r="E331" s="2"/>
      <c r="F331" s="2"/>
    </row>
    <row r="332" s="1" customFormat="true" ht="11.25" hidden="false" customHeight="false" outlineLevel="0" collapsed="false">
      <c r="C332" s="2"/>
      <c r="E332" s="2"/>
      <c r="F332" s="2"/>
    </row>
    <row r="333" s="1" customFormat="true" ht="11.25" hidden="false" customHeight="false" outlineLevel="0" collapsed="false">
      <c r="C333" s="2"/>
      <c r="E333" s="2"/>
      <c r="F333" s="2"/>
    </row>
    <row r="334" s="1" customFormat="true" ht="11.25" hidden="false" customHeight="false" outlineLevel="0" collapsed="false">
      <c r="C334" s="2"/>
      <c r="E334" s="2"/>
      <c r="F334" s="2"/>
    </row>
    <row r="335" s="1" customFormat="true" ht="11.25" hidden="false" customHeight="false" outlineLevel="0" collapsed="false">
      <c r="C335" s="2"/>
      <c r="E335" s="2"/>
      <c r="F335" s="2"/>
    </row>
    <row r="336" s="1" customFormat="true" ht="11.25" hidden="false" customHeight="false" outlineLevel="0" collapsed="false">
      <c r="C336" s="2"/>
      <c r="E336" s="2"/>
      <c r="F336" s="2"/>
    </row>
    <row r="337" s="1" customFormat="true" ht="11.25" hidden="false" customHeight="false" outlineLevel="0" collapsed="false">
      <c r="C337" s="2"/>
      <c r="E337" s="2"/>
      <c r="F337" s="2"/>
    </row>
    <row r="338" s="1" customFormat="true" ht="11.25" hidden="false" customHeight="false" outlineLevel="0" collapsed="false">
      <c r="C338" s="2"/>
      <c r="E338" s="2"/>
      <c r="F338" s="2"/>
    </row>
    <row r="339" s="1" customFormat="true" ht="11.25" hidden="false" customHeight="false" outlineLevel="0" collapsed="false">
      <c r="C339" s="2"/>
      <c r="E339" s="2"/>
      <c r="F339" s="2"/>
    </row>
    <row r="340" s="1" customFormat="true" ht="11.25" hidden="false" customHeight="false" outlineLevel="0" collapsed="false">
      <c r="C340" s="2"/>
      <c r="E340" s="2"/>
      <c r="F340" s="2"/>
    </row>
    <row r="341" s="1" customFormat="true" ht="11.25" hidden="false" customHeight="false" outlineLevel="0" collapsed="false">
      <c r="C341" s="2"/>
      <c r="E341" s="2"/>
      <c r="F341" s="2"/>
    </row>
    <row r="342" s="1" customFormat="true" ht="11.25" hidden="false" customHeight="false" outlineLevel="0" collapsed="false">
      <c r="C342" s="2"/>
      <c r="E342" s="2"/>
      <c r="F342" s="2"/>
    </row>
    <row r="343" s="1" customFormat="true" ht="11.25" hidden="false" customHeight="false" outlineLevel="0" collapsed="false">
      <c r="C343" s="2"/>
      <c r="E343" s="2"/>
      <c r="F343" s="2"/>
    </row>
    <row r="344" s="1" customFormat="true" ht="11.25" hidden="false" customHeight="false" outlineLevel="0" collapsed="false">
      <c r="C344" s="2"/>
      <c r="E344" s="2"/>
      <c r="F344" s="2"/>
    </row>
    <row r="345" s="1" customFormat="true" ht="11.25" hidden="false" customHeight="false" outlineLevel="0" collapsed="false">
      <c r="C345" s="2"/>
      <c r="E345" s="2"/>
      <c r="F345" s="2"/>
    </row>
    <row r="346" s="1" customFormat="true" ht="11.25" hidden="false" customHeight="false" outlineLevel="0" collapsed="false">
      <c r="C346" s="2"/>
      <c r="E346" s="2"/>
      <c r="F346" s="2"/>
    </row>
    <row r="347" s="1" customFormat="true" ht="11.25" hidden="false" customHeight="false" outlineLevel="0" collapsed="false">
      <c r="C347" s="2"/>
      <c r="E347" s="2"/>
      <c r="F347" s="2"/>
    </row>
    <row r="348" s="1" customFormat="true" ht="11.25" hidden="false" customHeight="false" outlineLevel="0" collapsed="false">
      <c r="C348" s="2"/>
      <c r="E348" s="2"/>
      <c r="F348" s="2"/>
    </row>
    <row r="349" s="1" customFormat="true" ht="11.25" hidden="false" customHeight="false" outlineLevel="0" collapsed="false">
      <c r="C349" s="2"/>
      <c r="E349" s="2"/>
      <c r="F349" s="2"/>
    </row>
    <row r="350" s="1" customFormat="true" ht="11.25" hidden="false" customHeight="false" outlineLevel="0" collapsed="false">
      <c r="C350" s="2"/>
      <c r="E350" s="2"/>
      <c r="F350" s="2"/>
    </row>
    <row r="351" s="1" customFormat="true" ht="11.25" hidden="false" customHeight="false" outlineLevel="0" collapsed="false">
      <c r="C351" s="2"/>
      <c r="E351" s="2"/>
      <c r="F351" s="2"/>
    </row>
    <row r="352" s="1" customFormat="true" ht="11.25" hidden="false" customHeight="false" outlineLevel="0" collapsed="false">
      <c r="C352" s="2"/>
      <c r="E352" s="2"/>
      <c r="F352" s="2"/>
    </row>
    <row r="353" s="1" customFormat="true" ht="11.25" hidden="false" customHeight="false" outlineLevel="0" collapsed="false">
      <c r="C353" s="2"/>
      <c r="E353" s="2"/>
      <c r="F353" s="2"/>
    </row>
    <row r="354" s="1" customFormat="true" ht="11.25" hidden="false" customHeight="false" outlineLevel="0" collapsed="false">
      <c r="C354" s="2"/>
      <c r="E354" s="2"/>
      <c r="F354" s="2"/>
    </row>
    <row r="355" s="1" customFormat="true" ht="11.25" hidden="false" customHeight="false" outlineLevel="0" collapsed="false">
      <c r="C355" s="2"/>
      <c r="E355" s="2"/>
      <c r="F355" s="2"/>
    </row>
    <row r="356" s="1" customFormat="true" ht="11.25" hidden="false" customHeight="false" outlineLevel="0" collapsed="false">
      <c r="C356" s="2"/>
      <c r="E356" s="2"/>
      <c r="F356" s="2"/>
    </row>
    <row r="357" s="1" customFormat="true" ht="11.25" hidden="false" customHeight="false" outlineLevel="0" collapsed="false">
      <c r="C357" s="2"/>
      <c r="E357" s="2"/>
      <c r="F357" s="2"/>
    </row>
    <row r="358" s="1" customFormat="true" ht="11.25" hidden="false" customHeight="false" outlineLevel="0" collapsed="false">
      <c r="C358" s="2"/>
      <c r="E358" s="2"/>
      <c r="F358" s="2"/>
    </row>
    <row r="359" s="1" customFormat="true" ht="11.25" hidden="false" customHeight="false" outlineLevel="0" collapsed="false">
      <c r="C359" s="2"/>
      <c r="E359" s="2"/>
      <c r="F359" s="2"/>
    </row>
    <row r="360" s="1" customFormat="true" ht="11.25" hidden="false" customHeight="false" outlineLevel="0" collapsed="false">
      <c r="C360" s="2"/>
      <c r="E360" s="2"/>
      <c r="F360" s="2"/>
    </row>
    <row r="361" s="1" customFormat="true" ht="11.25" hidden="false" customHeight="false" outlineLevel="0" collapsed="false">
      <c r="C361" s="2"/>
      <c r="E361" s="2"/>
      <c r="F361" s="2"/>
    </row>
    <row r="362" s="1" customFormat="true" ht="11.25" hidden="false" customHeight="false" outlineLevel="0" collapsed="false">
      <c r="C362" s="2"/>
      <c r="E362" s="2"/>
      <c r="F362" s="2"/>
    </row>
    <row r="363" s="1" customFormat="true" ht="11.25" hidden="false" customHeight="false" outlineLevel="0" collapsed="false">
      <c r="C363" s="2"/>
      <c r="E363" s="2"/>
      <c r="F363" s="2"/>
    </row>
    <row r="364" s="1" customFormat="true" ht="11.25" hidden="false" customHeight="false" outlineLevel="0" collapsed="false">
      <c r="C364" s="2"/>
      <c r="E364" s="2"/>
      <c r="F364" s="2"/>
    </row>
    <row r="365" s="1" customFormat="true" ht="11.25" hidden="false" customHeight="false" outlineLevel="0" collapsed="false">
      <c r="C365" s="2"/>
      <c r="E365" s="2"/>
      <c r="F365" s="2"/>
    </row>
    <row r="366" s="1" customFormat="true" ht="11.25" hidden="false" customHeight="false" outlineLevel="0" collapsed="false">
      <c r="C366" s="2"/>
      <c r="E366" s="2"/>
      <c r="F366" s="2"/>
    </row>
    <row r="367" s="1" customFormat="true" ht="11.25" hidden="false" customHeight="false" outlineLevel="0" collapsed="false">
      <c r="C367" s="2"/>
      <c r="E367" s="2"/>
      <c r="F367" s="2"/>
    </row>
    <row r="368" s="1" customFormat="true" ht="11.25" hidden="false" customHeight="false" outlineLevel="0" collapsed="false">
      <c r="C368" s="2"/>
      <c r="E368" s="2"/>
      <c r="F368" s="2"/>
    </row>
    <row r="369" s="1" customFormat="true" ht="11.25" hidden="false" customHeight="false" outlineLevel="0" collapsed="false">
      <c r="C369" s="2"/>
      <c r="E369" s="2"/>
      <c r="F369" s="2"/>
    </row>
    <row r="370" s="1" customFormat="true" ht="11.25" hidden="false" customHeight="false" outlineLevel="0" collapsed="false">
      <c r="C370" s="2"/>
      <c r="E370" s="2"/>
      <c r="F370" s="2"/>
    </row>
    <row r="371" s="1" customFormat="true" ht="11.25" hidden="false" customHeight="false" outlineLevel="0" collapsed="false">
      <c r="C371" s="2"/>
      <c r="E371" s="2"/>
      <c r="F371" s="2"/>
    </row>
    <row r="372" s="1" customFormat="true" ht="11.25" hidden="false" customHeight="false" outlineLevel="0" collapsed="false">
      <c r="C372" s="2"/>
      <c r="E372" s="2"/>
      <c r="F372" s="2"/>
    </row>
    <row r="373" s="1" customFormat="true" ht="11.25" hidden="false" customHeight="false" outlineLevel="0" collapsed="false">
      <c r="C373" s="2"/>
      <c r="E373" s="2"/>
      <c r="F373" s="2"/>
    </row>
    <row r="374" s="1" customFormat="true" ht="11.25" hidden="false" customHeight="false" outlineLevel="0" collapsed="false">
      <c r="C374" s="2"/>
      <c r="E374" s="2"/>
      <c r="F374" s="2"/>
    </row>
    <row r="375" s="1" customFormat="true" ht="11.25" hidden="false" customHeight="false" outlineLevel="0" collapsed="false">
      <c r="C375" s="2"/>
      <c r="E375" s="2"/>
      <c r="F375" s="2"/>
    </row>
    <row r="376" s="1" customFormat="true" ht="11.25" hidden="false" customHeight="false" outlineLevel="0" collapsed="false">
      <c r="C376" s="2"/>
      <c r="E376" s="2"/>
      <c r="F376" s="2"/>
    </row>
    <row r="377" s="1" customFormat="true" ht="11.25" hidden="false" customHeight="false" outlineLevel="0" collapsed="false">
      <c r="C377" s="2"/>
      <c r="E377" s="2"/>
      <c r="F377" s="2"/>
    </row>
    <row r="378" s="1" customFormat="true" ht="11.25" hidden="false" customHeight="false" outlineLevel="0" collapsed="false">
      <c r="C378" s="2"/>
      <c r="E378" s="2"/>
      <c r="F378" s="2"/>
    </row>
    <row r="379" s="1" customFormat="true" ht="11.25" hidden="false" customHeight="false" outlineLevel="0" collapsed="false">
      <c r="C379" s="2"/>
      <c r="E379" s="2"/>
      <c r="F379" s="2"/>
    </row>
    <row r="380" s="1" customFormat="true" ht="11.25" hidden="false" customHeight="false" outlineLevel="0" collapsed="false">
      <c r="C380" s="2"/>
      <c r="E380" s="2"/>
      <c r="F380" s="2"/>
    </row>
    <row r="381" s="1" customFormat="true" ht="11.25" hidden="false" customHeight="false" outlineLevel="0" collapsed="false">
      <c r="C381" s="2"/>
      <c r="E381" s="2"/>
      <c r="F381" s="2"/>
    </row>
    <row r="382" s="1" customFormat="true" ht="11.25" hidden="false" customHeight="false" outlineLevel="0" collapsed="false">
      <c r="C382" s="2"/>
      <c r="E382" s="2"/>
      <c r="F382" s="2"/>
    </row>
    <row r="383" s="1" customFormat="true" ht="11.25" hidden="false" customHeight="false" outlineLevel="0" collapsed="false">
      <c r="C383" s="2"/>
      <c r="E383" s="2"/>
      <c r="F383" s="2"/>
    </row>
    <row r="384" s="1" customFormat="true" ht="11.25" hidden="false" customHeight="false" outlineLevel="0" collapsed="false">
      <c r="C384" s="2"/>
      <c r="E384" s="2"/>
      <c r="F384" s="2"/>
    </row>
    <row r="385" s="1" customFormat="true" ht="11.25" hidden="false" customHeight="false" outlineLevel="0" collapsed="false">
      <c r="C385" s="2"/>
      <c r="E385" s="2"/>
      <c r="F385" s="2"/>
    </row>
    <row r="386" s="1" customFormat="true" ht="11.25" hidden="false" customHeight="false" outlineLevel="0" collapsed="false">
      <c r="C386" s="2"/>
      <c r="E386" s="2"/>
      <c r="F386" s="2"/>
    </row>
    <row r="387" s="1" customFormat="true" ht="11.25" hidden="false" customHeight="false" outlineLevel="0" collapsed="false">
      <c r="C387" s="2"/>
      <c r="E387" s="2"/>
      <c r="F387" s="2"/>
    </row>
    <row r="388" s="1" customFormat="true" ht="11.25" hidden="false" customHeight="false" outlineLevel="0" collapsed="false">
      <c r="C388" s="2"/>
      <c r="E388" s="2"/>
      <c r="F388" s="2"/>
    </row>
    <row r="389" s="1" customFormat="true" ht="11.25" hidden="false" customHeight="false" outlineLevel="0" collapsed="false">
      <c r="C389" s="2"/>
      <c r="E389" s="2"/>
      <c r="F389" s="2"/>
    </row>
    <row r="390" s="1" customFormat="true" ht="11.25" hidden="false" customHeight="false" outlineLevel="0" collapsed="false">
      <c r="C390" s="2"/>
      <c r="E390" s="2"/>
      <c r="F390" s="2"/>
    </row>
    <row r="391" s="1" customFormat="true" ht="11.25" hidden="false" customHeight="false" outlineLevel="0" collapsed="false">
      <c r="C391" s="2"/>
      <c r="E391" s="2"/>
      <c r="F391" s="2"/>
    </row>
    <row r="392" s="1" customFormat="true" ht="11.25" hidden="false" customHeight="false" outlineLevel="0" collapsed="false">
      <c r="C392" s="2"/>
      <c r="E392" s="2"/>
      <c r="F392" s="2"/>
    </row>
    <row r="393" s="1" customFormat="true" ht="11.25" hidden="false" customHeight="false" outlineLevel="0" collapsed="false">
      <c r="C393" s="2"/>
      <c r="E393" s="2"/>
      <c r="F393" s="2"/>
    </row>
    <row r="394" s="1" customFormat="true" ht="11.25" hidden="false" customHeight="false" outlineLevel="0" collapsed="false">
      <c r="C394" s="2"/>
      <c r="E394" s="2"/>
      <c r="F394" s="2"/>
    </row>
    <row r="395" s="1" customFormat="true" ht="11.25" hidden="false" customHeight="false" outlineLevel="0" collapsed="false">
      <c r="C395" s="2"/>
      <c r="E395" s="2"/>
      <c r="F395" s="2"/>
    </row>
    <row r="396" s="1" customFormat="true" ht="11.25" hidden="false" customHeight="false" outlineLevel="0" collapsed="false">
      <c r="C396" s="2"/>
      <c r="E396" s="2"/>
      <c r="F396" s="2"/>
    </row>
    <row r="397" s="1" customFormat="true" ht="11.25" hidden="false" customHeight="false" outlineLevel="0" collapsed="false">
      <c r="C397" s="2"/>
      <c r="E397" s="2"/>
      <c r="F397" s="2"/>
    </row>
    <row r="398" s="1" customFormat="true" ht="11.25" hidden="false" customHeight="false" outlineLevel="0" collapsed="false">
      <c r="C398" s="2"/>
      <c r="E398" s="2"/>
      <c r="F398" s="2"/>
    </row>
    <row r="399" s="1" customFormat="true" ht="11.25" hidden="false" customHeight="false" outlineLevel="0" collapsed="false">
      <c r="C399" s="2"/>
      <c r="E399" s="2"/>
      <c r="F399" s="2"/>
    </row>
    <row r="400" s="1" customFormat="true" ht="11.25" hidden="false" customHeight="false" outlineLevel="0" collapsed="false">
      <c r="C400" s="2"/>
      <c r="E400" s="2"/>
      <c r="F400" s="2"/>
    </row>
    <row r="401" s="1" customFormat="true" ht="11.25" hidden="false" customHeight="false" outlineLevel="0" collapsed="false">
      <c r="C401" s="2"/>
      <c r="E401" s="2"/>
      <c r="F401" s="2"/>
    </row>
    <row r="402" s="1" customFormat="true" ht="11.25" hidden="false" customHeight="false" outlineLevel="0" collapsed="false">
      <c r="C402" s="2"/>
      <c r="E402" s="2"/>
      <c r="F402" s="2"/>
    </row>
    <row r="403" s="1" customFormat="true" ht="11.25" hidden="false" customHeight="false" outlineLevel="0" collapsed="false">
      <c r="C403" s="2"/>
      <c r="E403" s="2"/>
      <c r="F403" s="2"/>
    </row>
    <row r="404" s="1" customFormat="true" ht="11.25" hidden="false" customHeight="false" outlineLevel="0" collapsed="false">
      <c r="C404" s="2"/>
      <c r="E404" s="2"/>
      <c r="F404" s="2"/>
    </row>
    <row r="405" s="1" customFormat="true" ht="11.25" hidden="false" customHeight="false" outlineLevel="0" collapsed="false">
      <c r="C405" s="2"/>
      <c r="E405" s="2"/>
      <c r="F405" s="2"/>
    </row>
    <row r="406" s="1" customFormat="true" ht="11.25" hidden="false" customHeight="false" outlineLevel="0" collapsed="false">
      <c r="C406" s="2"/>
      <c r="E406" s="2"/>
      <c r="F406" s="2"/>
    </row>
    <row r="407" s="1" customFormat="true" ht="11.25" hidden="false" customHeight="false" outlineLevel="0" collapsed="false">
      <c r="C407" s="2"/>
      <c r="E407" s="2"/>
      <c r="F407" s="2"/>
    </row>
    <row r="408" s="1" customFormat="true" ht="11.25" hidden="false" customHeight="false" outlineLevel="0" collapsed="false">
      <c r="C408" s="2"/>
      <c r="E408" s="2"/>
      <c r="F408" s="2"/>
    </row>
    <row r="409" s="1" customFormat="true" ht="11.25" hidden="false" customHeight="false" outlineLevel="0" collapsed="false">
      <c r="C409" s="2"/>
      <c r="E409" s="2"/>
      <c r="F409" s="2"/>
    </row>
    <row r="410" s="1" customFormat="true" ht="11.25" hidden="false" customHeight="false" outlineLevel="0" collapsed="false">
      <c r="C410" s="2"/>
      <c r="E410" s="2"/>
      <c r="F410" s="2"/>
    </row>
    <row r="411" s="1" customFormat="true" ht="11.25" hidden="false" customHeight="false" outlineLevel="0" collapsed="false">
      <c r="C411" s="2"/>
      <c r="E411" s="2"/>
      <c r="F411" s="2"/>
    </row>
    <row r="412" s="1" customFormat="true" ht="11.25" hidden="false" customHeight="false" outlineLevel="0" collapsed="false">
      <c r="C412" s="2"/>
      <c r="E412" s="2"/>
      <c r="F412" s="2"/>
    </row>
    <row r="413" s="1" customFormat="true" ht="11.25" hidden="false" customHeight="false" outlineLevel="0" collapsed="false">
      <c r="C413" s="2"/>
      <c r="E413" s="2"/>
      <c r="F413" s="2"/>
    </row>
    <row r="414" s="1" customFormat="true" ht="11.25" hidden="false" customHeight="false" outlineLevel="0" collapsed="false">
      <c r="C414" s="2"/>
      <c r="E414" s="2"/>
      <c r="F414" s="2"/>
    </row>
    <row r="415" s="1" customFormat="true" ht="11.25" hidden="false" customHeight="false" outlineLevel="0" collapsed="false">
      <c r="C415" s="2"/>
      <c r="E415" s="2"/>
      <c r="F415" s="2"/>
    </row>
    <row r="416" s="1" customFormat="true" ht="11.25" hidden="false" customHeight="false" outlineLevel="0" collapsed="false">
      <c r="C416" s="2"/>
      <c r="E416" s="2"/>
      <c r="F416" s="2"/>
    </row>
    <row r="417" s="1" customFormat="true" ht="11.25" hidden="false" customHeight="false" outlineLevel="0" collapsed="false">
      <c r="C417" s="2"/>
      <c r="E417" s="2"/>
      <c r="F417" s="2"/>
    </row>
    <row r="418" s="1" customFormat="true" ht="11.25" hidden="false" customHeight="false" outlineLevel="0" collapsed="false">
      <c r="C418" s="2"/>
      <c r="E418" s="2"/>
      <c r="F418" s="2"/>
    </row>
    <row r="419" s="1" customFormat="true" ht="11.25" hidden="false" customHeight="false" outlineLevel="0" collapsed="false">
      <c r="C419" s="2"/>
      <c r="E419" s="2"/>
      <c r="F419" s="2"/>
    </row>
    <row r="420" s="1" customFormat="true" ht="11.25" hidden="false" customHeight="false" outlineLevel="0" collapsed="false">
      <c r="C420" s="2"/>
      <c r="E420" s="2"/>
      <c r="F420" s="2"/>
    </row>
    <row r="421" s="1" customFormat="true" ht="11.25" hidden="false" customHeight="false" outlineLevel="0" collapsed="false">
      <c r="C421" s="2"/>
      <c r="E421" s="2"/>
      <c r="F421" s="2"/>
    </row>
    <row r="422" s="1" customFormat="true" ht="11.25" hidden="false" customHeight="false" outlineLevel="0" collapsed="false">
      <c r="C422" s="2"/>
      <c r="E422" s="2"/>
      <c r="F422" s="2"/>
    </row>
    <row r="423" s="1" customFormat="true" ht="11.25" hidden="false" customHeight="false" outlineLevel="0" collapsed="false">
      <c r="C423" s="2"/>
      <c r="E423" s="2"/>
      <c r="F423" s="2"/>
    </row>
    <row r="424" s="1" customFormat="true" ht="11.25" hidden="false" customHeight="false" outlineLevel="0" collapsed="false">
      <c r="C424" s="2"/>
      <c r="E424" s="2"/>
      <c r="F424" s="2"/>
    </row>
    <row r="425" s="1" customFormat="true" ht="11.25" hidden="false" customHeight="false" outlineLevel="0" collapsed="false">
      <c r="C425" s="2"/>
      <c r="E425" s="2"/>
      <c r="F425" s="2"/>
    </row>
    <row r="426" s="1" customFormat="true" ht="11.25" hidden="false" customHeight="false" outlineLevel="0" collapsed="false">
      <c r="C426" s="2"/>
      <c r="E426" s="2"/>
      <c r="F426" s="2"/>
    </row>
    <row r="427" s="1" customFormat="true" ht="11.25" hidden="false" customHeight="false" outlineLevel="0" collapsed="false">
      <c r="C427" s="2"/>
      <c r="E427" s="2"/>
      <c r="F427" s="2"/>
    </row>
    <row r="428" s="1" customFormat="true" ht="11.25" hidden="false" customHeight="false" outlineLevel="0" collapsed="false">
      <c r="C428" s="2"/>
      <c r="E428" s="2"/>
      <c r="F428" s="2"/>
    </row>
    <row r="429" s="1" customFormat="true" ht="11.25" hidden="false" customHeight="false" outlineLevel="0" collapsed="false">
      <c r="C429" s="2"/>
      <c r="E429" s="2"/>
      <c r="F429" s="2"/>
    </row>
    <row r="430" s="1" customFormat="true" ht="11.25" hidden="false" customHeight="false" outlineLevel="0" collapsed="false">
      <c r="C430" s="2"/>
      <c r="E430" s="2"/>
      <c r="F430" s="2"/>
    </row>
    <row r="431" s="1" customFormat="true" ht="11.25" hidden="false" customHeight="false" outlineLevel="0" collapsed="false">
      <c r="C431" s="2"/>
      <c r="E431" s="2"/>
      <c r="F431" s="2"/>
    </row>
    <row r="432" s="1" customFormat="true" ht="11.25" hidden="false" customHeight="false" outlineLevel="0" collapsed="false">
      <c r="C432" s="2"/>
      <c r="E432" s="2"/>
      <c r="F432" s="2"/>
    </row>
    <row r="433" s="1" customFormat="true" ht="11.25" hidden="false" customHeight="false" outlineLevel="0" collapsed="false">
      <c r="C433" s="2"/>
      <c r="E433" s="2"/>
      <c r="F433" s="2"/>
    </row>
    <row r="434" s="1" customFormat="true" ht="11.25" hidden="false" customHeight="false" outlineLevel="0" collapsed="false">
      <c r="C434" s="2"/>
      <c r="E434" s="2"/>
      <c r="F434" s="2"/>
    </row>
    <row r="435" s="1" customFormat="true" ht="11.25" hidden="false" customHeight="false" outlineLevel="0" collapsed="false">
      <c r="C435" s="2"/>
      <c r="E435" s="2"/>
      <c r="F435" s="2"/>
    </row>
    <row r="436" s="1" customFormat="true" ht="11.25" hidden="false" customHeight="false" outlineLevel="0" collapsed="false">
      <c r="C436" s="2"/>
      <c r="E436" s="2"/>
      <c r="F436" s="2"/>
    </row>
    <row r="437" s="1" customFormat="true" ht="11.25" hidden="false" customHeight="false" outlineLevel="0" collapsed="false">
      <c r="C437" s="2"/>
      <c r="E437" s="2"/>
      <c r="F437" s="2"/>
    </row>
    <row r="438" s="1" customFormat="true" ht="11.25" hidden="false" customHeight="false" outlineLevel="0" collapsed="false">
      <c r="C438" s="2"/>
      <c r="E438" s="2"/>
      <c r="F438" s="2"/>
    </row>
    <row r="439" s="1" customFormat="true" ht="11.25" hidden="false" customHeight="false" outlineLevel="0" collapsed="false">
      <c r="C439" s="2"/>
      <c r="E439" s="2"/>
      <c r="F439" s="2"/>
    </row>
    <row r="440" s="1" customFormat="true" ht="11.25" hidden="false" customHeight="false" outlineLevel="0" collapsed="false">
      <c r="C440" s="2"/>
      <c r="E440" s="2"/>
      <c r="F440" s="2"/>
    </row>
    <row r="441" s="1" customFormat="true" ht="11.25" hidden="false" customHeight="false" outlineLevel="0" collapsed="false">
      <c r="C441" s="2"/>
      <c r="E441" s="2"/>
      <c r="F441" s="2"/>
    </row>
    <row r="442" s="1" customFormat="true" ht="11.25" hidden="false" customHeight="false" outlineLevel="0" collapsed="false">
      <c r="C442" s="2"/>
      <c r="E442" s="2"/>
      <c r="F442" s="2"/>
    </row>
    <row r="443" s="1" customFormat="true" ht="11.25" hidden="false" customHeight="false" outlineLevel="0" collapsed="false">
      <c r="C443" s="2"/>
      <c r="E443" s="2"/>
      <c r="F443" s="2"/>
    </row>
    <row r="444" s="1" customFormat="true" ht="11.25" hidden="false" customHeight="false" outlineLevel="0" collapsed="false">
      <c r="C444" s="2"/>
      <c r="E444" s="2"/>
      <c r="F444" s="2"/>
    </row>
    <row r="445" s="1" customFormat="true" ht="11.25" hidden="false" customHeight="false" outlineLevel="0" collapsed="false">
      <c r="C445" s="2"/>
      <c r="E445" s="2"/>
      <c r="F445" s="2"/>
    </row>
    <row r="446" s="1" customFormat="true" ht="11.25" hidden="false" customHeight="false" outlineLevel="0" collapsed="false">
      <c r="C446" s="2"/>
      <c r="E446" s="2"/>
      <c r="F446" s="2"/>
    </row>
    <row r="447" s="1" customFormat="true" ht="11.25" hidden="false" customHeight="false" outlineLevel="0" collapsed="false">
      <c r="C447" s="2"/>
      <c r="E447" s="2"/>
      <c r="F447" s="2"/>
    </row>
    <row r="448" s="1" customFormat="true" ht="11.25" hidden="false" customHeight="false" outlineLevel="0" collapsed="false">
      <c r="C448" s="2"/>
      <c r="E448" s="2"/>
      <c r="F448" s="2"/>
    </row>
    <row r="449" s="1" customFormat="true" ht="11.25" hidden="false" customHeight="false" outlineLevel="0" collapsed="false">
      <c r="C449" s="2"/>
      <c r="E449" s="2"/>
      <c r="F449" s="2"/>
    </row>
    <row r="450" s="1" customFormat="true" ht="11.25" hidden="false" customHeight="false" outlineLevel="0" collapsed="false">
      <c r="C450" s="2"/>
      <c r="E450" s="2"/>
      <c r="F450" s="2"/>
    </row>
    <row r="451" s="1" customFormat="true" ht="11.25" hidden="false" customHeight="false" outlineLevel="0" collapsed="false">
      <c r="C451" s="2"/>
      <c r="E451" s="2"/>
      <c r="F451" s="2"/>
    </row>
    <row r="452" s="1" customFormat="true" ht="11.25" hidden="false" customHeight="false" outlineLevel="0" collapsed="false">
      <c r="C452" s="2"/>
      <c r="E452" s="2"/>
      <c r="F452" s="2"/>
    </row>
    <row r="453" s="1" customFormat="true" ht="11.25" hidden="false" customHeight="false" outlineLevel="0" collapsed="false">
      <c r="C453" s="2"/>
      <c r="E453" s="2"/>
      <c r="F453" s="2"/>
    </row>
    <row r="454" s="1" customFormat="true" ht="11.25" hidden="false" customHeight="false" outlineLevel="0" collapsed="false">
      <c r="C454" s="2"/>
      <c r="E454" s="2"/>
      <c r="F454" s="2"/>
    </row>
    <row r="455" s="1" customFormat="true" ht="11.25" hidden="false" customHeight="false" outlineLevel="0" collapsed="false">
      <c r="C455" s="2"/>
      <c r="E455" s="2"/>
      <c r="F455" s="2"/>
    </row>
    <row r="456" s="1" customFormat="true" ht="11.25" hidden="false" customHeight="false" outlineLevel="0" collapsed="false">
      <c r="C456" s="2"/>
      <c r="E456" s="2"/>
      <c r="F456" s="2"/>
    </row>
    <row r="457" s="1" customFormat="true" ht="11.25" hidden="false" customHeight="false" outlineLevel="0" collapsed="false">
      <c r="C457" s="2"/>
      <c r="E457" s="2"/>
      <c r="F457" s="2"/>
    </row>
    <row r="458" s="1" customFormat="true" ht="11.25" hidden="false" customHeight="false" outlineLevel="0" collapsed="false">
      <c r="C458" s="2"/>
      <c r="E458" s="2"/>
      <c r="F458" s="2"/>
    </row>
    <row r="459" s="1" customFormat="true" ht="11.25" hidden="false" customHeight="false" outlineLevel="0" collapsed="false">
      <c r="C459" s="2"/>
      <c r="E459" s="2"/>
      <c r="F459" s="2"/>
    </row>
    <row r="460" s="1" customFormat="true" ht="11.25" hidden="false" customHeight="false" outlineLevel="0" collapsed="false">
      <c r="C460" s="2"/>
      <c r="E460" s="2"/>
      <c r="F460" s="2"/>
    </row>
    <row r="461" s="1" customFormat="true" ht="11.25" hidden="false" customHeight="false" outlineLevel="0" collapsed="false">
      <c r="C461" s="2"/>
      <c r="E461" s="2"/>
      <c r="F461" s="2"/>
    </row>
    <row r="462" s="1" customFormat="true" ht="11.25" hidden="false" customHeight="false" outlineLevel="0" collapsed="false">
      <c r="C462" s="2"/>
      <c r="E462" s="2"/>
      <c r="F462" s="2"/>
    </row>
    <row r="463" s="1" customFormat="true" ht="11.25" hidden="false" customHeight="false" outlineLevel="0" collapsed="false">
      <c r="C463" s="2"/>
      <c r="E463" s="2"/>
      <c r="F463" s="2"/>
    </row>
    <row r="464" s="1" customFormat="true" ht="11.25" hidden="false" customHeight="false" outlineLevel="0" collapsed="false">
      <c r="C464" s="2"/>
      <c r="E464" s="2"/>
      <c r="F464" s="2"/>
    </row>
    <row r="465" s="1" customFormat="true" ht="11.25" hidden="false" customHeight="false" outlineLevel="0" collapsed="false">
      <c r="C465" s="2"/>
      <c r="E465" s="2"/>
      <c r="F465" s="2"/>
    </row>
    <row r="466" s="1" customFormat="true" ht="11.25" hidden="false" customHeight="false" outlineLevel="0" collapsed="false">
      <c r="C466" s="2"/>
      <c r="E466" s="2"/>
      <c r="F466" s="2"/>
    </row>
    <row r="467" s="1" customFormat="true" ht="11.25" hidden="false" customHeight="false" outlineLevel="0" collapsed="false">
      <c r="C467" s="2"/>
      <c r="E467" s="2"/>
      <c r="F467" s="2"/>
    </row>
    <row r="468" s="1" customFormat="true" ht="11.25" hidden="false" customHeight="false" outlineLevel="0" collapsed="false">
      <c r="C468" s="2"/>
      <c r="E468" s="2"/>
      <c r="F468" s="2"/>
    </row>
    <row r="469" s="1" customFormat="true" ht="11.25" hidden="false" customHeight="false" outlineLevel="0" collapsed="false">
      <c r="C469" s="2"/>
      <c r="E469" s="2"/>
      <c r="F469" s="2"/>
    </row>
    <row r="470" s="1" customFormat="true" ht="11.25" hidden="false" customHeight="false" outlineLevel="0" collapsed="false">
      <c r="C470" s="2"/>
      <c r="E470" s="2"/>
      <c r="F470" s="2"/>
    </row>
    <row r="471" s="1" customFormat="true" ht="11.25" hidden="false" customHeight="false" outlineLevel="0" collapsed="false">
      <c r="C471" s="2"/>
      <c r="E471" s="2"/>
      <c r="F471" s="2"/>
    </row>
    <row r="472" s="1" customFormat="true" ht="11.25" hidden="false" customHeight="false" outlineLevel="0" collapsed="false">
      <c r="C472" s="2"/>
      <c r="E472" s="2"/>
      <c r="F472" s="2"/>
    </row>
    <row r="473" s="1" customFormat="true" ht="11.25" hidden="false" customHeight="false" outlineLevel="0" collapsed="false">
      <c r="C473" s="2"/>
      <c r="E473" s="2"/>
      <c r="F473" s="2"/>
    </row>
    <row r="474" s="1" customFormat="true" ht="11.25" hidden="false" customHeight="false" outlineLevel="0" collapsed="false">
      <c r="C474" s="2"/>
      <c r="E474" s="2"/>
      <c r="F474" s="2"/>
    </row>
    <row r="475" s="1" customFormat="true" ht="11.25" hidden="false" customHeight="false" outlineLevel="0" collapsed="false">
      <c r="C475" s="2"/>
      <c r="E475" s="2"/>
      <c r="F475" s="2"/>
    </row>
    <row r="476" s="1" customFormat="true" ht="11.25" hidden="false" customHeight="false" outlineLevel="0" collapsed="false">
      <c r="C476" s="2"/>
      <c r="E476" s="2"/>
      <c r="F476" s="2"/>
    </row>
    <row r="477" s="1" customFormat="true" ht="11.25" hidden="false" customHeight="false" outlineLevel="0" collapsed="false">
      <c r="C477" s="2"/>
      <c r="E477" s="2"/>
      <c r="F477" s="2"/>
    </row>
    <row r="478" s="1" customFormat="true" ht="11.25" hidden="false" customHeight="false" outlineLevel="0" collapsed="false">
      <c r="C478" s="2"/>
      <c r="E478" s="2"/>
      <c r="F478" s="2"/>
    </row>
    <row r="479" s="1" customFormat="true" ht="11.25" hidden="false" customHeight="false" outlineLevel="0" collapsed="false">
      <c r="C479" s="2"/>
      <c r="E479" s="2"/>
      <c r="F479" s="2"/>
    </row>
    <row r="480" s="1" customFormat="true" ht="11.25" hidden="false" customHeight="false" outlineLevel="0" collapsed="false">
      <c r="C480" s="2"/>
      <c r="E480" s="2"/>
      <c r="F480" s="2"/>
    </row>
    <row r="481" s="1" customFormat="true" ht="11.25" hidden="false" customHeight="false" outlineLevel="0" collapsed="false">
      <c r="C481" s="2"/>
      <c r="E481" s="2"/>
      <c r="F481" s="2"/>
    </row>
    <row r="482" s="1" customFormat="true" ht="11.25" hidden="false" customHeight="false" outlineLevel="0" collapsed="false">
      <c r="C482" s="2"/>
      <c r="E482" s="2"/>
      <c r="F482" s="2"/>
    </row>
    <row r="483" s="1" customFormat="true" ht="11.25" hidden="false" customHeight="false" outlineLevel="0" collapsed="false">
      <c r="C483" s="2"/>
      <c r="E483" s="2"/>
      <c r="F483" s="2"/>
    </row>
    <row r="484" s="1" customFormat="true" ht="11.25" hidden="false" customHeight="false" outlineLevel="0" collapsed="false">
      <c r="C484" s="2"/>
      <c r="E484" s="2"/>
      <c r="F484" s="2"/>
    </row>
    <row r="485" s="1" customFormat="true" ht="11.25" hidden="false" customHeight="false" outlineLevel="0" collapsed="false">
      <c r="C485" s="2"/>
      <c r="E485" s="2"/>
      <c r="F485" s="2"/>
    </row>
    <row r="486" s="1" customFormat="true" ht="11.25" hidden="false" customHeight="false" outlineLevel="0" collapsed="false">
      <c r="C486" s="2"/>
      <c r="E486" s="2"/>
      <c r="F486" s="2"/>
    </row>
    <row r="487" s="1" customFormat="true" ht="11.25" hidden="false" customHeight="false" outlineLevel="0" collapsed="false">
      <c r="C487" s="2"/>
      <c r="E487" s="2"/>
      <c r="F487" s="2"/>
    </row>
    <row r="488" s="1" customFormat="true" ht="11.25" hidden="false" customHeight="false" outlineLevel="0" collapsed="false">
      <c r="C488" s="2"/>
      <c r="E488" s="2"/>
      <c r="F488" s="2"/>
    </row>
    <row r="489" s="1" customFormat="true" ht="11.25" hidden="false" customHeight="false" outlineLevel="0" collapsed="false">
      <c r="C489" s="2"/>
      <c r="E489" s="2"/>
      <c r="F489" s="2"/>
    </row>
    <row r="490" s="1" customFormat="true" ht="11.25" hidden="false" customHeight="false" outlineLevel="0" collapsed="false">
      <c r="C490" s="2"/>
      <c r="E490" s="2"/>
      <c r="F490" s="2"/>
    </row>
    <row r="491" s="1" customFormat="true" ht="11.25" hidden="false" customHeight="false" outlineLevel="0" collapsed="false">
      <c r="C491" s="2"/>
      <c r="E491" s="2"/>
      <c r="F491" s="2"/>
    </row>
    <row r="492" s="1" customFormat="true" ht="11.25" hidden="false" customHeight="false" outlineLevel="0" collapsed="false">
      <c r="C492" s="2"/>
      <c r="E492" s="2"/>
      <c r="F492" s="2"/>
    </row>
    <row r="493" s="1" customFormat="true" ht="11.25" hidden="false" customHeight="false" outlineLevel="0" collapsed="false">
      <c r="C493" s="2"/>
      <c r="E493" s="2"/>
      <c r="F493" s="2"/>
    </row>
    <row r="494" s="1" customFormat="true" ht="11.25" hidden="false" customHeight="false" outlineLevel="0" collapsed="false">
      <c r="C494" s="2"/>
      <c r="E494" s="2"/>
      <c r="F494" s="2"/>
    </row>
    <row r="495" s="1" customFormat="true" ht="11.25" hidden="false" customHeight="false" outlineLevel="0" collapsed="false">
      <c r="C495" s="2"/>
      <c r="E495" s="2"/>
      <c r="F495" s="2"/>
    </row>
    <row r="496" s="1" customFormat="true" ht="11.25" hidden="false" customHeight="false" outlineLevel="0" collapsed="false">
      <c r="C496" s="2"/>
      <c r="E496" s="2"/>
      <c r="F496" s="2"/>
    </row>
    <row r="497" s="1" customFormat="true" ht="11.25" hidden="false" customHeight="false" outlineLevel="0" collapsed="false">
      <c r="C497" s="2"/>
      <c r="E497" s="2"/>
      <c r="F497" s="2"/>
    </row>
    <row r="498" s="1" customFormat="true" ht="11.25" hidden="false" customHeight="false" outlineLevel="0" collapsed="false">
      <c r="C498" s="2"/>
      <c r="E498" s="2"/>
      <c r="F498" s="2"/>
    </row>
    <row r="499" s="1" customFormat="true" ht="11.25" hidden="false" customHeight="false" outlineLevel="0" collapsed="false">
      <c r="C499" s="2"/>
      <c r="E499" s="2"/>
      <c r="F499" s="2"/>
    </row>
    <row r="500" s="1" customFormat="true" ht="11.25" hidden="false" customHeight="false" outlineLevel="0" collapsed="false">
      <c r="C500" s="2"/>
      <c r="E500" s="2"/>
      <c r="F500" s="2"/>
    </row>
    <row r="501" s="1" customFormat="true" ht="11.25" hidden="false" customHeight="false" outlineLevel="0" collapsed="false">
      <c r="C501" s="2"/>
      <c r="E501" s="2"/>
      <c r="F501" s="2"/>
    </row>
    <row r="502" s="1" customFormat="true" ht="11.25" hidden="false" customHeight="false" outlineLevel="0" collapsed="false">
      <c r="C502" s="2"/>
      <c r="E502" s="2"/>
      <c r="F502" s="2"/>
    </row>
    <row r="503" s="1" customFormat="true" ht="11.25" hidden="false" customHeight="false" outlineLevel="0" collapsed="false">
      <c r="C503" s="2"/>
      <c r="E503" s="2"/>
      <c r="F503" s="2"/>
    </row>
    <row r="504" s="1" customFormat="true" ht="11.25" hidden="false" customHeight="false" outlineLevel="0" collapsed="false">
      <c r="C504" s="2"/>
      <c r="E504" s="2"/>
      <c r="F504" s="2"/>
    </row>
    <row r="505" s="1" customFormat="true" ht="11.25" hidden="false" customHeight="false" outlineLevel="0" collapsed="false">
      <c r="C505" s="2"/>
      <c r="E505" s="2"/>
      <c r="F505" s="2"/>
    </row>
    <row r="506" s="1" customFormat="true" ht="11.25" hidden="false" customHeight="false" outlineLevel="0" collapsed="false">
      <c r="C506" s="2"/>
      <c r="E506" s="2"/>
      <c r="F506" s="2"/>
    </row>
    <row r="507" s="1" customFormat="true" ht="11.25" hidden="false" customHeight="false" outlineLevel="0" collapsed="false">
      <c r="C507" s="2"/>
      <c r="E507" s="2"/>
      <c r="F507" s="2"/>
    </row>
    <row r="508" s="1" customFormat="true" ht="11.25" hidden="false" customHeight="false" outlineLevel="0" collapsed="false">
      <c r="C508" s="2"/>
      <c r="E508" s="2"/>
      <c r="F508" s="2"/>
    </row>
    <row r="509" s="1" customFormat="true" ht="11.25" hidden="false" customHeight="false" outlineLevel="0" collapsed="false">
      <c r="C509" s="2"/>
      <c r="E509" s="2"/>
      <c r="F509" s="2"/>
    </row>
    <row r="510" s="1" customFormat="true" ht="11.25" hidden="false" customHeight="false" outlineLevel="0" collapsed="false">
      <c r="C510" s="2"/>
      <c r="E510" s="2"/>
      <c r="F510" s="2"/>
    </row>
    <row r="511" s="1" customFormat="true" ht="11.25" hidden="false" customHeight="false" outlineLevel="0" collapsed="false">
      <c r="C511" s="2"/>
      <c r="E511" s="2"/>
      <c r="F511" s="2"/>
    </row>
    <row r="512" s="1" customFormat="true" ht="11.25" hidden="false" customHeight="false" outlineLevel="0" collapsed="false">
      <c r="C512" s="2"/>
      <c r="E512" s="2"/>
      <c r="F512" s="2"/>
    </row>
    <row r="513" s="1" customFormat="true" ht="11.25" hidden="false" customHeight="false" outlineLevel="0" collapsed="false">
      <c r="C513" s="2"/>
      <c r="E513" s="2"/>
      <c r="F513" s="2"/>
    </row>
    <row r="514" s="1" customFormat="true" ht="11.25" hidden="false" customHeight="false" outlineLevel="0" collapsed="false">
      <c r="C514" s="2"/>
      <c r="E514" s="2"/>
      <c r="F514" s="2"/>
    </row>
    <row r="515" s="1" customFormat="true" ht="11.25" hidden="false" customHeight="false" outlineLevel="0" collapsed="false">
      <c r="C515" s="2"/>
      <c r="E515" s="2"/>
      <c r="F515" s="2"/>
    </row>
    <row r="516" s="1" customFormat="true" ht="11.25" hidden="false" customHeight="false" outlineLevel="0" collapsed="false">
      <c r="C516" s="2"/>
      <c r="E516" s="2"/>
      <c r="F516" s="2"/>
    </row>
    <row r="517" s="1" customFormat="true" ht="11.25" hidden="false" customHeight="false" outlineLevel="0" collapsed="false">
      <c r="C517" s="2"/>
      <c r="E517" s="2"/>
      <c r="F517" s="2"/>
    </row>
    <row r="518" s="1" customFormat="true" ht="11.25" hidden="false" customHeight="false" outlineLevel="0" collapsed="false">
      <c r="C518" s="2"/>
      <c r="E518" s="2"/>
      <c r="F518" s="2"/>
    </row>
    <row r="519" s="1" customFormat="true" ht="11.25" hidden="false" customHeight="false" outlineLevel="0" collapsed="false">
      <c r="C519" s="2"/>
      <c r="E519" s="2"/>
      <c r="F519" s="2"/>
    </row>
    <row r="520" s="1" customFormat="true" ht="11.25" hidden="false" customHeight="false" outlineLevel="0" collapsed="false">
      <c r="C520" s="2"/>
      <c r="E520" s="2"/>
      <c r="F520" s="2"/>
    </row>
    <row r="521" s="1" customFormat="true" ht="11.25" hidden="false" customHeight="false" outlineLevel="0" collapsed="false">
      <c r="C521" s="2"/>
      <c r="E521" s="2"/>
      <c r="F521" s="2"/>
    </row>
    <row r="522" s="1" customFormat="true" ht="11.25" hidden="false" customHeight="false" outlineLevel="0" collapsed="false">
      <c r="C522" s="2"/>
      <c r="E522" s="2"/>
      <c r="F522" s="2"/>
    </row>
    <row r="523" s="1" customFormat="true" ht="11.25" hidden="false" customHeight="false" outlineLevel="0" collapsed="false">
      <c r="C523" s="2"/>
      <c r="E523" s="2"/>
      <c r="F523" s="2"/>
    </row>
    <row r="524" s="1" customFormat="true" ht="11.25" hidden="false" customHeight="false" outlineLevel="0" collapsed="false">
      <c r="C524" s="2"/>
      <c r="E524" s="2"/>
      <c r="F524" s="2"/>
    </row>
    <row r="525" s="1" customFormat="true" ht="11.25" hidden="false" customHeight="false" outlineLevel="0" collapsed="false">
      <c r="C525" s="2"/>
      <c r="E525" s="2"/>
      <c r="F525" s="2"/>
    </row>
    <row r="526" s="1" customFormat="true" ht="11.25" hidden="false" customHeight="false" outlineLevel="0" collapsed="false">
      <c r="C526" s="2"/>
      <c r="E526" s="2"/>
      <c r="F526" s="2"/>
    </row>
    <row r="527" s="1" customFormat="true" ht="11.25" hidden="false" customHeight="false" outlineLevel="0" collapsed="false">
      <c r="C527" s="2"/>
      <c r="E527" s="2"/>
      <c r="F527" s="2"/>
    </row>
    <row r="528" s="1" customFormat="true" ht="11.25" hidden="false" customHeight="false" outlineLevel="0" collapsed="false">
      <c r="C528" s="2"/>
      <c r="E528" s="2"/>
      <c r="F528" s="2"/>
    </row>
    <row r="529" s="1" customFormat="true" ht="11.25" hidden="false" customHeight="false" outlineLevel="0" collapsed="false">
      <c r="C529" s="2"/>
      <c r="E529" s="2"/>
      <c r="F529" s="2"/>
    </row>
    <row r="530" s="1" customFormat="true" ht="11.25" hidden="false" customHeight="false" outlineLevel="0" collapsed="false">
      <c r="C530" s="2"/>
      <c r="E530" s="2"/>
      <c r="F530" s="2"/>
    </row>
    <row r="531" s="1" customFormat="true" ht="11.25" hidden="false" customHeight="false" outlineLevel="0" collapsed="false">
      <c r="C531" s="2"/>
      <c r="E531" s="2"/>
      <c r="F531" s="2"/>
    </row>
    <row r="532" s="1" customFormat="true" ht="11.25" hidden="false" customHeight="false" outlineLevel="0" collapsed="false">
      <c r="C532" s="2"/>
      <c r="E532" s="2"/>
      <c r="F532" s="2"/>
    </row>
    <row r="533" s="1" customFormat="true" ht="11.25" hidden="false" customHeight="false" outlineLevel="0" collapsed="false">
      <c r="C533" s="2"/>
      <c r="E533" s="2"/>
      <c r="F533" s="2"/>
    </row>
    <row r="534" s="1" customFormat="true" ht="11.25" hidden="false" customHeight="false" outlineLevel="0" collapsed="false">
      <c r="C534" s="2"/>
      <c r="E534" s="2"/>
      <c r="F534" s="2"/>
    </row>
    <row r="535" s="1" customFormat="true" ht="11.25" hidden="false" customHeight="false" outlineLevel="0" collapsed="false">
      <c r="C535" s="2"/>
      <c r="E535" s="2"/>
      <c r="F535" s="2"/>
    </row>
    <row r="536" s="1" customFormat="true" ht="11.25" hidden="false" customHeight="false" outlineLevel="0" collapsed="false">
      <c r="C536" s="2"/>
      <c r="E536" s="2"/>
      <c r="F536" s="2"/>
    </row>
    <row r="537" s="1" customFormat="true" ht="11.25" hidden="false" customHeight="false" outlineLevel="0" collapsed="false">
      <c r="C537" s="2"/>
      <c r="E537" s="2"/>
      <c r="F537" s="2"/>
    </row>
    <row r="538" s="1" customFormat="true" ht="11.25" hidden="false" customHeight="false" outlineLevel="0" collapsed="false">
      <c r="C538" s="2"/>
      <c r="E538" s="2"/>
      <c r="F538" s="2"/>
    </row>
    <row r="539" s="1" customFormat="true" ht="11.25" hidden="false" customHeight="false" outlineLevel="0" collapsed="false">
      <c r="C539" s="2"/>
      <c r="E539" s="2"/>
      <c r="F539" s="2"/>
    </row>
    <row r="540" s="1" customFormat="true" ht="11.25" hidden="false" customHeight="false" outlineLevel="0" collapsed="false">
      <c r="C540" s="2"/>
      <c r="E540" s="2"/>
      <c r="F540" s="2"/>
    </row>
    <row r="541" s="1" customFormat="true" ht="11.25" hidden="false" customHeight="false" outlineLevel="0" collapsed="false">
      <c r="C541" s="2"/>
      <c r="E541" s="2"/>
      <c r="F541" s="2"/>
    </row>
    <row r="542" s="1" customFormat="true" ht="11.25" hidden="false" customHeight="false" outlineLevel="0" collapsed="false">
      <c r="C542" s="2"/>
      <c r="E542" s="2"/>
      <c r="F542" s="2"/>
    </row>
    <row r="543" s="1" customFormat="true" ht="11.25" hidden="false" customHeight="false" outlineLevel="0" collapsed="false">
      <c r="C543" s="2"/>
      <c r="E543" s="2"/>
      <c r="F543" s="2"/>
    </row>
    <row r="544" s="1" customFormat="true" ht="11.25" hidden="false" customHeight="false" outlineLevel="0" collapsed="false">
      <c r="C544" s="2"/>
      <c r="E544" s="2"/>
      <c r="F544" s="2"/>
    </row>
    <row r="545" s="1" customFormat="true" ht="11.25" hidden="false" customHeight="false" outlineLevel="0" collapsed="false">
      <c r="C545" s="2"/>
      <c r="E545" s="2"/>
      <c r="F545" s="2"/>
    </row>
    <row r="546" s="1" customFormat="true" ht="11.25" hidden="false" customHeight="false" outlineLevel="0" collapsed="false">
      <c r="C546" s="2"/>
      <c r="E546" s="2"/>
      <c r="F546" s="2"/>
    </row>
    <row r="547" s="1" customFormat="true" ht="11.25" hidden="false" customHeight="false" outlineLevel="0" collapsed="false">
      <c r="C547" s="2"/>
      <c r="E547" s="2"/>
      <c r="F547" s="2"/>
    </row>
    <row r="548" s="1" customFormat="true" ht="11.25" hidden="false" customHeight="false" outlineLevel="0" collapsed="false">
      <c r="C548" s="2"/>
      <c r="E548" s="2"/>
      <c r="F548" s="2"/>
    </row>
    <row r="549" s="1" customFormat="true" ht="11.25" hidden="false" customHeight="false" outlineLevel="0" collapsed="false">
      <c r="C549" s="2"/>
      <c r="E549" s="2"/>
      <c r="F549" s="2"/>
    </row>
    <row r="550" s="1" customFormat="true" ht="11.25" hidden="false" customHeight="false" outlineLevel="0" collapsed="false">
      <c r="C550" s="2"/>
      <c r="E550" s="2"/>
      <c r="F550" s="2"/>
    </row>
    <row r="551" s="1" customFormat="true" ht="11.25" hidden="false" customHeight="false" outlineLevel="0" collapsed="false">
      <c r="C551" s="2"/>
      <c r="E551" s="2"/>
      <c r="F551" s="2"/>
    </row>
    <row r="552" s="1" customFormat="true" ht="11.25" hidden="false" customHeight="false" outlineLevel="0" collapsed="false">
      <c r="C552" s="2"/>
      <c r="E552" s="2"/>
      <c r="F552" s="2"/>
    </row>
    <row r="553" s="1" customFormat="true" ht="11.25" hidden="false" customHeight="false" outlineLevel="0" collapsed="false">
      <c r="C553" s="2"/>
      <c r="E553" s="2"/>
      <c r="F553" s="2"/>
    </row>
    <row r="554" s="1" customFormat="true" ht="11.25" hidden="false" customHeight="false" outlineLevel="0" collapsed="false">
      <c r="C554" s="2"/>
      <c r="E554" s="2"/>
      <c r="F554" s="2"/>
    </row>
    <row r="555" s="1" customFormat="true" ht="11.25" hidden="false" customHeight="false" outlineLevel="0" collapsed="false">
      <c r="C555" s="2"/>
      <c r="E555" s="2"/>
      <c r="F555" s="2"/>
    </row>
    <row r="556" s="1" customFormat="true" ht="11.25" hidden="false" customHeight="false" outlineLevel="0" collapsed="false">
      <c r="C556" s="2"/>
      <c r="E556" s="2"/>
      <c r="F556" s="2"/>
    </row>
    <row r="557" s="1" customFormat="true" ht="11.25" hidden="false" customHeight="false" outlineLevel="0" collapsed="false">
      <c r="C557" s="2"/>
      <c r="E557" s="2"/>
      <c r="F557" s="2"/>
    </row>
    <row r="558" s="1" customFormat="true" ht="11.25" hidden="false" customHeight="false" outlineLevel="0" collapsed="false">
      <c r="C558" s="2"/>
      <c r="E558" s="2"/>
      <c r="F558" s="2"/>
    </row>
    <row r="559" s="1" customFormat="true" ht="11.25" hidden="false" customHeight="false" outlineLevel="0" collapsed="false">
      <c r="C559" s="2"/>
      <c r="E559" s="2"/>
      <c r="F559" s="2"/>
    </row>
    <row r="560" s="1" customFormat="true" ht="11.25" hidden="false" customHeight="false" outlineLevel="0" collapsed="false">
      <c r="C560" s="2"/>
      <c r="E560" s="2"/>
      <c r="F560" s="2"/>
    </row>
    <row r="561" s="1" customFormat="true" ht="11.25" hidden="false" customHeight="false" outlineLevel="0" collapsed="false">
      <c r="C561" s="2"/>
      <c r="E561" s="2"/>
      <c r="F561" s="2"/>
    </row>
    <row r="562" s="1" customFormat="true" ht="11.25" hidden="false" customHeight="false" outlineLevel="0" collapsed="false">
      <c r="C562" s="2"/>
      <c r="E562" s="2"/>
      <c r="F562" s="2"/>
    </row>
    <row r="563" s="1" customFormat="true" ht="11.25" hidden="false" customHeight="false" outlineLevel="0" collapsed="false">
      <c r="C563" s="2"/>
      <c r="E563" s="2"/>
      <c r="F563" s="2"/>
    </row>
    <row r="564" s="1" customFormat="true" ht="11.25" hidden="false" customHeight="false" outlineLevel="0" collapsed="false">
      <c r="C564" s="2"/>
      <c r="E564" s="2"/>
      <c r="F564" s="2"/>
    </row>
    <row r="565" s="1" customFormat="true" ht="11.25" hidden="false" customHeight="false" outlineLevel="0" collapsed="false">
      <c r="C565" s="2"/>
      <c r="E565" s="2"/>
      <c r="F565" s="2"/>
    </row>
    <row r="566" s="1" customFormat="true" ht="11.25" hidden="false" customHeight="false" outlineLevel="0" collapsed="false">
      <c r="C566" s="2"/>
      <c r="E566" s="2"/>
      <c r="F566" s="2"/>
    </row>
    <row r="567" s="1" customFormat="true" ht="11.25" hidden="false" customHeight="false" outlineLevel="0" collapsed="false">
      <c r="C567" s="2"/>
      <c r="E567" s="2"/>
      <c r="F567" s="2"/>
    </row>
    <row r="568" s="1" customFormat="true" ht="11.25" hidden="false" customHeight="false" outlineLevel="0" collapsed="false">
      <c r="C568" s="2"/>
      <c r="E568" s="2"/>
      <c r="F568" s="2"/>
    </row>
    <row r="569" s="1" customFormat="true" ht="11.25" hidden="false" customHeight="false" outlineLevel="0" collapsed="false">
      <c r="C569" s="2"/>
      <c r="E569" s="2"/>
      <c r="F569" s="2"/>
    </row>
    <row r="570" s="1" customFormat="true" ht="11.25" hidden="false" customHeight="false" outlineLevel="0" collapsed="false">
      <c r="C570" s="2"/>
      <c r="E570" s="2"/>
      <c r="F570" s="2"/>
    </row>
    <row r="571" s="1" customFormat="true" ht="11.25" hidden="false" customHeight="false" outlineLevel="0" collapsed="false">
      <c r="C571" s="2"/>
      <c r="E571" s="2"/>
      <c r="F571" s="2"/>
    </row>
    <row r="572" s="1" customFormat="true" ht="11.25" hidden="false" customHeight="false" outlineLevel="0" collapsed="false">
      <c r="C572" s="2"/>
      <c r="E572" s="2"/>
      <c r="F572" s="2"/>
    </row>
    <row r="573" s="1" customFormat="true" ht="11.25" hidden="false" customHeight="false" outlineLevel="0" collapsed="false">
      <c r="C573" s="2"/>
      <c r="E573" s="2"/>
      <c r="F573" s="2"/>
    </row>
    <row r="574" s="1" customFormat="true" ht="11.25" hidden="false" customHeight="false" outlineLevel="0" collapsed="false">
      <c r="C574" s="2"/>
      <c r="E574" s="2"/>
      <c r="F574" s="2"/>
    </row>
    <row r="575" s="1" customFormat="true" ht="11.25" hidden="false" customHeight="false" outlineLevel="0" collapsed="false">
      <c r="C575" s="2"/>
      <c r="E575" s="2"/>
      <c r="F575" s="2"/>
    </row>
    <row r="576" s="1" customFormat="true" ht="11.25" hidden="false" customHeight="false" outlineLevel="0" collapsed="false">
      <c r="C576" s="2"/>
      <c r="E576" s="2"/>
      <c r="F576" s="2"/>
    </row>
    <row r="577" s="1" customFormat="true" ht="11.25" hidden="false" customHeight="false" outlineLevel="0" collapsed="false">
      <c r="C577" s="2"/>
      <c r="E577" s="2"/>
      <c r="F577" s="2"/>
    </row>
    <row r="578" s="1" customFormat="true" ht="11.25" hidden="false" customHeight="false" outlineLevel="0" collapsed="false">
      <c r="C578" s="2"/>
      <c r="E578" s="2"/>
      <c r="F578" s="2"/>
    </row>
    <row r="579" s="1" customFormat="true" ht="11.25" hidden="false" customHeight="false" outlineLevel="0" collapsed="false">
      <c r="C579" s="2"/>
      <c r="E579" s="2"/>
      <c r="F579" s="2"/>
    </row>
    <row r="580" s="1" customFormat="true" ht="11.25" hidden="false" customHeight="false" outlineLevel="0" collapsed="false">
      <c r="C580" s="2"/>
      <c r="E580" s="2"/>
      <c r="F580" s="2"/>
    </row>
    <row r="581" s="1" customFormat="true" ht="11.25" hidden="false" customHeight="false" outlineLevel="0" collapsed="false">
      <c r="C581" s="2"/>
      <c r="E581" s="2"/>
      <c r="F581" s="2"/>
    </row>
    <row r="582" s="1" customFormat="true" ht="11.25" hidden="false" customHeight="false" outlineLevel="0" collapsed="false">
      <c r="C582" s="2"/>
      <c r="E582" s="2"/>
      <c r="F582" s="2"/>
    </row>
    <row r="583" s="1" customFormat="true" ht="11.25" hidden="false" customHeight="false" outlineLevel="0" collapsed="false">
      <c r="C583" s="2"/>
      <c r="E583" s="2"/>
      <c r="F583" s="2"/>
    </row>
    <row r="584" s="1" customFormat="true" ht="11.25" hidden="false" customHeight="false" outlineLevel="0" collapsed="false">
      <c r="C584" s="2"/>
      <c r="E584" s="2"/>
      <c r="F584" s="2"/>
    </row>
    <row r="585" s="1" customFormat="true" ht="11.25" hidden="false" customHeight="false" outlineLevel="0" collapsed="false">
      <c r="C585" s="2"/>
      <c r="E585" s="2"/>
      <c r="F585" s="2"/>
    </row>
    <row r="586" s="1" customFormat="true" ht="11.25" hidden="false" customHeight="false" outlineLevel="0" collapsed="false">
      <c r="C586" s="2"/>
      <c r="E586" s="2"/>
      <c r="F586" s="2"/>
    </row>
    <row r="587" s="1" customFormat="true" ht="11.25" hidden="false" customHeight="false" outlineLevel="0" collapsed="false">
      <c r="C587" s="2"/>
      <c r="E587" s="2"/>
      <c r="F587" s="2"/>
    </row>
    <row r="588" s="1" customFormat="true" ht="11.25" hidden="false" customHeight="false" outlineLevel="0" collapsed="false">
      <c r="C588" s="2"/>
      <c r="E588" s="2"/>
      <c r="F588" s="2"/>
    </row>
    <row r="589" s="1" customFormat="true" ht="11.25" hidden="false" customHeight="false" outlineLevel="0" collapsed="false">
      <c r="C589" s="2"/>
      <c r="E589" s="2"/>
      <c r="F589" s="2"/>
    </row>
    <row r="590" s="1" customFormat="true" ht="11.25" hidden="false" customHeight="false" outlineLevel="0" collapsed="false">
      <c r="C590" s="2"/>
      <c r="E590" s="2"/>
      <c r="F590" s="2"/>
    </row>
    <row r="591" s="1" customFormat="true" ht="11.25" hidden="false" customHeight="false" outlineLevel="0" collapsed="false">
      <c r="C591" s="2"/>
      <c r="E591" s="2"/>
      <c r="F591" s="2"/>
    </row>
    <row r="592" s="1" customFormat="true" ht="11.25" hidden="false" customHeight="false" outlineLevel="0" collapsed="false">
      <c r="C592" s="2"/>
      <c r="E592" s="2"/>
      <c r="F592" s="2"/>
    </row>
    <row r="593" s="1" customFormat="true" ht="11.25" hidden="false" customHeight="false" outlineLevel="0" collapsed="false">
      <c r="C593" s="2"/>
      <c r="E593" s="2"/>
      <c r="F593" s="2"/>
    </row>
    <row r="594" s="1" customFormat="true" ht="11.25" hidden="false" customHeight="false" outlineLevel="0" collapsed="false">
      <c r="C594" s="2"/>
      <c r="E594" s="2"/>
      <c r="F594" s="2"/>
    </row>
    <row r="595" s="1" customFormat="true" ht="11.25" hidden="false" customHeight="false" outlineLevel="0" collapsed="false">
      <c r="C595" s="2"/>
      <c r="E595" s="2"/>
      <c r="F595" s="2"/>
    </row>
    <row r="596" s="1" customFormat="true" ht="11.25" hidden="false" customHeight="false" outlineLevel="0" collapsed="false">
      <c r="C596" s="2"/>
      <c r="E596" s="2"/>
      <c r="F596" s="2"/>
    </row>
    <row r="597" s="1" customFormat="true" ht="11.25" hidden="false" customHeight="false" outlineLevel="0" collapsed="false">
      <c r="C597" s="2"/>
      <c r="E597" s="2"/>
      <c r="F597" s="2"/>
    </row>
    <row r="598" s="1" customFormat="true" ht="11.25" hidden="false" customHeight="false" outlineLevel="0" collapsed="false">
      <c r="C598" s="2"/>
      <c r="E598" s="2"/>
      <c r="F598" s="2"/>
    </row>
    <row r="599" s="1" customFormat="true" ht="11.25" hidden="false" customHeight="false" outlineLevel="0" collapsed="false">
      <c r="C599" s="2"/>
      <c r="E599" s="2"/>
      <c r="F599" s="2"/>
    </row>
    <row r="600" s="1" customFormat="true" ht="11.25" hidden="false" customHeight="false" outlineLevel="0" collapsed="false">
      <c r="C600" s="2"/>
      <c r="E600" s="2"/>
      <c r="F600" s="2"/>
    </row>
    <row r="601" s="1" customFormat="true" ht="11.25" hidden="false" customHeight="false" outlineLevel="0" collapsed="false">
      <c r="C601" s="2"/>
      <c r="E601" s="2"/>
      <c r="F601" s="2"/>
    </row>
    <row r="602" s="1" customFormat="true" ht="11.25" hidden="false" customHeight="false" outlineLevel="0" collapsed="false">
      <c r="C602" s="2"/>
      <c r="E602" s="2"/>
      <c r="F602" s="2"/>
    </row>
    <row r="603" s="1" customFormat="true" ht="11.25" hidden="false" customHeight="false" outlineLevel="0" collapsed="false">
      <c r="C603" s="2"/>
      <c r="E603" s="2"/>
      <c r="F603" s="2"/>
    </row>
    <row r="604" s="1" customFormat="true" ht="11.25" hidden="false" customHeight="false" outlineLevel="0" collapsed="false">
      <c r="C604" s="2"/>
      <c r="E604" s="2"/>
      <c r="F604" s="2"/>
    </row>
    <row r="605" s="1" customFormat="true" ht="11.25" hidden="false" customHeight="false" outlineLevel="0" collapsed="false">
      <c r="C605" s="2"/>
      <c r="E605" s="2"/>
      <c r="F605" s="2"/>
    </row>
    <row r="606" s="1" customFormat="true" ht="11.25" hidden="false" customHeight="false" outlineLevel="0" collapsed="false">
      <c r="C606" s="2"/>
      <c r="E606" s="2"/>
      <c r="F606" s="2"/>
    </row>
    <row r="607" s="1" customFormat="true" ht="11.25" hidden="false" customHeight="false" outlineLevel="0" collapsed="false">
      <c r="C607" s="2"/>
      <c r="E607" s="2"/>
      <c r="F607" s="2"/>
    </row>
    <row r="608" s="1" customFormat="true" ht="11.25" hidden="false" customHeight="false" outlineLevel="0" collapsed="false">
      <c r="C608" s="2"/>
      <c r="E608" s="2"/>
      <c r="F608" s="2"/>
    </row>
    <row r="609" s="1" customFormat="true" ht="11.25" hidden="false" customHeight="false" outlineLevel="0" collapsed="false">
      <c r="C609" s="2"/>
      <c r="E609" s="2"/>
      <c r="F609" s="2"/>
    </row>
    <row r="610" s="1" customFormat="true" ht="11.25" hidden="false" customHeight="false" outlineLevel="0" collapsed="false">
      <c r="C610" s="2"/>
      <c r="E610" s="2"/>
      <c r="F610" s="2"/>
    </row>
    <row r="611" s="1" customFormat="true" ht="11.25" hidden="false" customHeight="false" outlineLevel="0" collapsed="false">
      <c r="C611" s="2"/>
      <c r="E611" s="2"/>
      <c r="F611" s="2"/>
    </row>
    <row r="612" s="1" customFormat="true" ht="11.25" hidden="false" customHeight="false" outlineLevel="0" collapsed="false">
      <c r="C612" s="2"/>
      <c r="E612" s="2"/>
      <c r="F612" s="2"/>
    </row>
    <row r="613" s="1" customFormat="true" ht="11.25" hidden="false" customHeight="false" outlineLevel="0" collapsed="false">
      <c r="C613" s="2"/>
      <c r="E613" s="2"/>
      <c r="F613" s="2"/>
    </row>
    <row r="614" s="1" customFormat="true" ht="11.25" hidden="false" customHeight="false" outlineLevel="0" collapsed="false">
      <c r="C614" s="2"/>
      <c r="E614" s="2"/>
      <c r="F614" s="2"/>
    </row>
    <row r="615" s="1" customFormat="true" ht="11.25" hidden="false" customHeight="false" outlineLevel="0" collapsed="false">
      <c r="C615" s="2"/>
      <c r="E615" s="2"/>
      <c r="F615" s="2"/>
    </row>
    <row r="616" s="1" customFormat="true" ht="11.25" hidden="false" customHeight="false" outlineLevel="0" collapsed="false">
      <c r="C616" s="2"/>
      <c r="E616" s="2"/>
      <c r="F616" s="2"/>
    </row>
    <row r="617" s="1" customFormat="true" ht="11.25" hidden="false" customHeight="false" outlineLevel="0" collapsed="false">
      <c r="C617" s="2"/>
      <c r="E617" s="2"/>
      <c r="F617" s="2"/>
    </row>
    <row r="618" s="1" customFormat="true" ht="11.25" hidden="false" customHeight="false" outlineLevel="0" collapsed="false">
      <c r="C618" s="2"/>
      <c r="E618" s="2"/>
      <c r="F618" s="2"/>
    </row>
    <row r="619" s="1" customFormat="true" ht="11.25" hidden="false" customHeight="false" outlineLevel="0" collapsed="false">
      <c r="C619" s="2"/>
      <c r="E619" s="2"/>
      <c r="F619" s="2"/>
    </row>
    <row r="620" s="1" customFormat="true" ht="11.25" hidden="false" customHeight="false" outlineLevel="0" collapsed="false">
      <c r="C620" s="2"/>
      <c r="E620" s="2"/>
      <c r="F620" s="2"/>
    </row>
    <row r="621" s="1" customFormat="true" ht="11.25" hidden="false" customHeight="false" outlineLevel="0" collapsed="false">
      <c r="C621" s="2"/>
      <c r="E621" s="2"/>
      <c r="F621" s="2"/>
    </row>
    <row r="622" s="1" customFormat="true" ht="11.25" hidden="false" customHeight="false" outlineLevel="0" collapsed="false">
      <c r="C622" s="2"/>
      <c r="E622" s="2"/>
      <c r="F622" s="2"/>
    </row>
    <row r="623" s="1" customFormat="true" ht="11.25" hidden="false" customHeight="false" outlineLevel="0" collapsed="false">
      <c r="C623" s="2"/>
      <c r="E623" s="2"/>
      <c r="F623" s="2"/>
    </row>
    <row r="624" s="1" customFormat="true" ht="11.25" hidden="false" customHeight="false" outlineLevel="0" collapsed="false">
      <c r="C624" s="2"/>
      <c r="E624" s="2"/>
      <c r="F624" s="2"/>
    </row>
    <row r="625" s="1" customFormat="true" ht="11.25" hidden="false" customHeight="false" outlineLevel="0" collapsed="false">
      <c r="C625" s="2"/>
      <c r="E625" s="2"/>
      <c r="F625" s="2"/>
    </row>
    <row r="626" s="1" customFormat="true" ht="11.25" hidden="false" customHeight="false" outlineLevel="0" collapsed="false">
      <c r="C626" s="2"/>
      <c r="E626" s="2"/>
      <c r="F626" s="2"/>
    </row>
    <row r="627" s="1" customFormat="true" ht="11.25" hidden="false" customHeight="false" outlineLevel="0" collapsed="false">
      <c r="C627" s="2"/>
      <c r="E627" s="2"/>
      <c r="F627" s="2"/>
    </row>
    <row r="628" s="1" customFormat="true" ht="11.25" hidden="false" customHeight="false" outlineLevel="0" collapsed="false">
      <c r="C628" s="2"/>
      <c r="E628" s="2"/>
      <c r="F628" s="2"/>
    </row>
    <row r="629" s="1" customFormat="true" ht="11.25" hidden="false" customHeight="false" outlineLevel="0" collapsed="false">
      <c r="C629" s="2"/>
      <c r="E629" s="2"/>
      <c r="F629" s="2"/>
    </row>
    <row r="630" s="1" customFormat="true" ht="11.25" hidden="false" customHeight="false" outlineLevel="0" collapsed="false">
      <c r="C630" s="2"/>
      <c r="E630" s="2"/>
      <c r="F630" s="2"/>
    </row>
    <row r="631" s="1" customFormat="true" ht="11.25" hidden="false" customHeight="false" outlineLevel="0" collapsed="false">
      <c r="C631" s="2"/>
      <c r="E631" s="2"/>
      <c r="F631" s="2"/>
    </row>
    <row r="632" s="1" customFormat="true" ht="11.25" hidden="false" customHeight="false" outlineLevel="0" collapsed="false">
      <c r="C632" s="2"/>
      <c r="E632" s="2"/>
      <c r="F632" s="2"/>
    </row>
    <row r="633" s="1" customFormat="true" ht="11.25" hidden="false" customHeight="false" outlineLevel="0" collapsed="false">
      <c r="C633" s="2"/>
      <c r="E633" s="2"/>
      <c r="F633" s="2"/>
    </row>
    <row r="634" s="1" customFormat="true" ht="11.25" hidden="false" customHeight="false" outlineLevel="0" collapsed="false">
      <c r="C634" s="2"/>
      <c r="E634" s="2"/>
      <c r="F634" s="2"/>
    </row>
    <row r="635" s="1" customFormat="true" ht="11.25" hidden="false" customHeight="false" outlineLevel="0" collapsed="false">
      <c r="C635" s="2"/>
      <c r="E635" s="2"/>
      <c r="F635" s="2"/>
    </row>
    <row r="636" s="1" customFormat="true" ht="11.25" hidden="false" customHeight="false" outlineLevel="0" collapsed="false">
      <c r="C636" s="2"/>
      <c r="E636" s="2"/>
      <c r="F636" s="2"/>
    </row>
    <row r="637" s="1" customFormat="true" ht="11.25" hidden="false" customHeight="false" outlineLevel="0" collapsed="false">
      <c r="C637" s="2"/>
      <c r="E637" s="2"/>
      <c r="F637" s="2"/>
    </row>
    <row r="638" s="1" customFormat="true" ht="11.25" hidden="false" customHeight="false" outlineLevel="0" collapsed="false">
      <c r="C638" s="2"/>
      <c r="E638" s="2"/>
      <c r="F638" s="2"/>
    </row>
    <row r="639" s="1" customFormat="true" ht="11.25" hidden="false" customHeight="false" outlineLevel="0" collapsed="false">
      <c r="C639" s="2"/>
      <c r="E639" s="2"/>
      <c r="F639" s="2"/>
    </row>
    <row r="640" s="1" customFormat="true" ht="11.25" hidden="false" customHeight="false" outlineLevel="0" collapsed="false">
      <c r="C640" s="2"/>
      <c r="E640" s="2"/>
      <c r="F640" s="2"/>
    </row>
    <row r="641" s="1" customFormat="true" ht="11.25" hidden="false" customHeight="false" outlineLevel="0" collapsed="false">
      <c r="C641" s="2"/>
      <c r="E641" s="2"/>
      <c r="F641" s="2"/>
    </row>
    <row r="642" s="1" customFormat="true" ht="11.25" hidden="false" customHeight="false" outlineLevel="0" collapsed="false">
      <c r="C642" s="2"/>
      <c r="E642" s="2"/>
      <c r="F642" s="2"/>
    </row>
    <row r="643" s="1" customFormat="true" ht="11.25" hidden="false" customHeight="false" outlineLevel="0" collapsed="false">
      <c r="C643" s="2"/>
      <c r="E643" s="2"/>
      <c r="F643" s="2"/>
    </row>
    <row r="644" s="1" customFormat="true" ht="11.25" hidden="false" customHeight="false" outlineLevel="0" collapsed="false">
      <c r="C644" s="2"/>
      <c r="E644" s="2"/>
      <c r="F644" s="2"/>
    </row>
    <row r="645" s="1" customFormat="true" ht="11.25" hidden="false" customHeight="false" outlineLevel="0" collapsed="false">
      <c r="C645" s="2"/>
      <c r="E645" s="2"/>
      <c r="F645" s="2"/>
    </row>
    <row r="646" s="1" customFormat="true" ht="11.25" hidden="false" customHeight="false" outlineLevel="0" collapsed="false">
      <c r="C646" s="2"/>
      <c r="E646" s="2"/>
      <c r="F646" s="2"/>
    </row>
    <row r="647" s="1" customFormat="true" ht="11.25" hidden="false" customHeight="false" outlineLevel="0" collapsed="false">
      <c r="C647" s="2"/>
      <c r="E647" s="2"/>
      <c r="F647" s="2"/>
    </row>
    <row r="648" s="1" customFormat="true" ht="11.25" hidden="false" customHeight="false" outlineLevel="0" collapsed="false">
      <c r="C648" s="2"/>
      <c r="E648" s="2"/>
      <c r="F648" s="2"/>
    </row>
    <row r="649" s="1" customFormat="true" ht="11.25" hidden="false" customHeight="false" outlineLevel="0" collapsed="false">
      <c r="C649" s="2"/>
      <c r="E649" s="2"/>
      <c r="F649" s="2"/>
    </row>
    <row r="650" s="1" customFormat="true" ht="11.25" hidden="false" customHeight="false" outlineLevel="0" collapsed="false">
      <c r="C650" s="2"/>
      <c r="E650" s="2"/>
      <c r="F650" s="2"/>
    </row>
    <row r="651" s="1" customFormat="true" ht="11.25" hidden="false" customHeight="false" outlineLevel="0" collapsed="false">
      <c r="C651" s="2"/>
      <c r="E651" s="2"/>
      <c r="F651" s="2"/>
    </row>
    <row r="652" s="1" customFormat="true" ht="11.25" hidden="false" customHeight="false" outlineLevel="0" collapsed="false">
      <c r="C652" s="2"/>
      <c r="E652" s="2"/>
      <c r="F652" s="2"/>
    </row>
    <row r="653" s="1" customFormat="true" ht="11.25" hidden="false" customHeight="false" outlineLevel="0" collapsed="false">
      <c r="C653" s="2"/>
      <c r="E653" s="2"/>
      <c r="F653" s="2"/>
    </row>
    <row r="654" s="1" customFormat="true" ht="11.25" hidden="false" customHeight="false" outlineLevel="0" collapsed="false">
      <c r="C654" s="2"/>
      <c r="E654" s="2"/>
      <c r="F654" s="2"/>
    </row>
    <row r="655" s="1" customFormat="true" ht="11.25" hidden="false" customHeight="false" outlineLevel="0" collapsed="false">
      <c r="C655" s="2"/>
      <c r="E655" s="2"/>
      <c r="F655" s="2"/>
    </row>
    <row r="656" s="1" customFormat="true" ht="11.25" hidden="false" customHeight="false" outlineLevel="0" collapsed="false">
      <c r="C656" s="2"/>
      <c r="E656" s="2"/>
      <c r="F656" s="2"/>
    </row>
    <row r="657" s="1" customFormat="true" ht="11.25" hidden="false" customHeight="false" outlineLevel="0" collapsed="false">
      <c r="C657" s="2"/>
      <c r="E657" s="2"/>
      <c r="F657" s="2"/>
    </row>
    <row r="658" s="1" customFormat="true" ht="11.25" hidden="false" customHeight="false" outlineLevel="0" collapsed="false">
      <c r="C658" s="2"/>
      <c r="E658" s="2"/>
      <c r="F658" s="2"/>
    </row>
    <row r="659" s="1" customFormat="true" ht="11.25" hidden="false" customHeight="false" outlineLevel="0" collapsed="false">
      <c r="C659" s="2"/>
      <c r="E659" s="2"/>
      <c r="F659" s="2"/>
    </row>
    <row r="660" s="1" customFormat="true" ht="11.25" hidden="false" customHeight="false" outlineLevel="0" collapsed="false">
      <c r="C660" s="2"/>
      <c r="E660" s="2"/>
      <c r="F660" s="2"/>
    </row>
    <row r="661" s="1" customFormat="true" ht="11.25" hidden="false" customHeight="false" outlineLevel="0" collapsed="false">
      <c r="C661" s="2"/>
      <c r="E661" s="2"/>
      <c r="F661" s="2"/>
    </row>
    <row r="662" s="1" customFormat="true" ht="11.25" hidden="false" customHeight="false" outlineLevel="0" collapsed="false">
      <c r="C662" s="2"/>
      <c r="E662" s="2"/>
      <c r="F662" s="2"/>
    </row>
    <row r="663" s="1" customFormat="true" ht="11.25" hidden="false" customHeight="false" outlineLevel="0" collapsed="false">
      <c r="C663" s="2"/>
      <c r="E663" s="2"/>
      <c r="F663" s="2"/>
    </row>
    <row r="664" s="1" customFormat="true" ht="11.25" hidden="false" customHeight="false" outlineLevel="0" collapsed="false">
      <c r="C664" s="2"/>
      <c r="E664" s="2"/>
      <c r="F664" s="2"/>
    </row>
    <row r="665" s="1" customFormat="true" ht="11.25" hidden="false" customHeight="false" outlineLevel="0" collapsed="false">
      <c r="C665" s="2"/>
      <c r="E665" s="2"/>
      <c r="F665" s="2"/>
    </row>
    <row r="666" s="1" customFormat="true" ht="11.25" hidden="false" customHeight="false" outlineLevel="0" collapsed="false">
      <c r="C666" s="2"/>
      <c r="E666" s="2"/>
      <c r="F666" s="2"/>
    </row>
    <row r="667" s="1" customFormat="true" ht="11.25" hidden="false" customHeight="false" outlineLevel="0" collapsed="false">
      <c r="C667" s="2"/>
      <c r="E667" s="2"/>
      <c r="F667" s="2"/>
    </row>
    <row r="668" s="1" customFormat="true" ht="11.25" hidden="false" customHeight="false" outlineLevel="0" collapsed="false">
      <c r="C668" s="2"/>
      <c r="E668" s="2"/>
      <c r="F668" s="2"/>
    </row>
    <row r="669" s="1" customFormat="true" ht="11.25" hidden="false" customHeight="false" outlineLevel="0" collapsed="false">
      <c r="C669" s="2"/>
      <c r="E669" s="2"/>
      <c r="F669" s="2"/>
    </row>
    <row r="670" s="1" customFormat="true" ht="11.25" hidden="false" customHeight="false" outlineLevel="0" collapsed="false">
      <c r="C670" s="2"/>
      <c r="E670" s="2"/>
      <c r="F670" s="2"/>
    </row>
    <row r="671" s="1" customFormat="true" ht="11.25" hidden="false" customHeight="false" outlineLevel="0" collapsed="false">
      <c r="C671" s="2"/>
      <c r="E671" s="2"/>
      <c r="F671" s="2"/>
    </row>
    <row r="672" s="1" customFormat="true" ht="11.25" hidden="false" customHeight="false" outlineLevel="0" collapsed="false">
      <c r="C672" s="2"/>
      <c r="E672" s="2"/>
      <c r="F672" s="2"/>
    </row>
    <row r="673" s="1" customFormat="true" ht="11.25" hidden="false" customHeight="false" outlineLevel="0" collapsed="false">
      <c r="C673" s="2"/>
      <c r="E673" s="2"/>
      <c r="F673" s="2"/>
    </row>
    <row r="674" s="1" customFormat="true" ht="11.25" hidden="false" customHeight="false" outlineLevel="0" collapsed="false">
      <c r="C674" s="2"/>
      <c r="E674" s="2"/>
      <c r="F674" s="2"/>
    </row>
    <row r="675" s="1" customFormat="true" ht="11.25" hidden="false" customHeight="false" outlineLevel="0" collapsed="false">
      <c r="C675" s="2"/>
      <c r="E675" s="2"/>
      <c r="F675" s="2"/>
    </row>
    <row r="676" s="1" customFormat="true" ht="11.25" hidden="false" customHeight="false" outlineLevel="0" collapsed="false">
      <c r="C676" s="2"/>
      <c r="E676" s="2"/>
      <c r="F676" s="2"/>
    </row>
    <row r="677" s="1" customFormat="true" ht="11.25" hidden="false" customHeight="false" outlineLevel="0" collapsed="false">
      <c r="C677" s="2"/>
      <c r="E677" s="2"/>
      <c r="F677" s="2"/>
    </row>
    <row r="678" s="1" customFormat="true" ht="11.25" hidden="false" customHeight="false" outlineLevel="0" collapsed="false">
      <c r="C678" s="2"/>
      <c r="E678" s="2"/>
      <c r="F678" s="2"/>
    </row>
    <row r="679" s="1" customFormat="true" ht="11.25" hidden="false" customHeight="false" outlineLevel="0" collapsed="false">
      <c r="C679" s="2"/>
      <c r="E679" s="2"/>
      <c r="F679" s="2"/>
    </row>
    <row r="680" s="1" customFormat="true" ht="11.25" hidden="false" customHeight="false" outlineLevel="0" collapsed="false">
      <c r="C680" s="2"/>
      <c r="E680" s="2"/>
      <c r="F680" s="2"/>
    </row>
    <row r="681" s="1" customFormat="true" ht="11.25" hidden="false" customHeight="false" outlineLevel="0" collapsed="false">
      <c r="C681" s="2"/>
      <c r="E681" s="2"/>
      <c r="F681" s="2"/>
    </row>
    <row r="682" s="1" customFormat="true" ht="11.25" hidden="false" customHeight="false" outlineLevel="0" collapsed="false">
      <c r="C682" s="2"/>
      <c r="E682" s="2"/>
      <c r="F682" s="2"/>
    </row>
    <row r="683" s="1" customFormat="true" ht="11.25" hidden="false" customHeight="false" outlineLevel="0" collapsed="false">
      <c r="C683" s="2"/>
      <c r="E683" s="2"/>
      <c r="F683" s="2"/>
    </row>
    <row r="684" s="1" customFormat="true" ht="11.25" hidden="false" customHeight="false" outlineLevel="0" collapsed="false">
      <c r="C684" s="2"/>
      <c r="E684" s="2"/>
      <c r="F684" s="2"/>
    </row>
    <row r="685" s="1" customFormat="true" ht="11.25" hidden="false" customHeight="false" outlineLevel="0" collapsed="false">
      <c r="C685" s="2"/>
      <c r="E685" s="2"/>
      <c r="F685" s="2"/>
    </row>
    <row r="686" s="1" customFormat="true" ht="11.25" hidden="false" customHeight="false" outlineLevel="0" collapsed="false">
      <c r="C686" s="2"/>
      <c r="E686" s="2"/>
      <c r="F686" s="2"/>
    </row>
    <row r="687" s="1" customFormat="true" ht="11.25" hidden="false" customHeight="false" outlineLevel="0" collapsed="false">
      <c r="C687" s="2"/>
      <c r="E687" s="2"/>
      <c r="F687" s="2"/>
    </row>
    <row r="688" s="1" customFormat="true" ht="11.25" hidden="false" customHeight="false" outlineLevel="0" collapsed="false">
      <c r="C688" s="2"/>
      <c r="E688" s="2"/>
      <c r="F688" s="2"/>
    </row>
    <row r="689" s="1" customFormat="true" ht="11.25" hidden="false" customHeight="false" outlineLevel="0" collapsed="false">
      <c r="C689" s="2"/>
      <c r="E689" s="2"/>
      <c r="F689" s="2"/>
    </row>
    <row r="690" s="1" customFormat="true" ht="11.25" hidden="false" customHeight="false" outlineLevel="0" collapsed="false">
      <c r="C690" s="2"/>
      <c r="E690" s="2"/>
      <c r="F690" s="2"/>
    </row>
    <row r="691" s="1" customFormat="true" ht="11.25" hidden="false" customHeight="false" outlineLevel="0" collapsed="false">
      <c r="C691" s="2"/>
      <c r="E691" s="2"/>
      <c r="F691" s="2"/>
    </row>
    <row r="692" s="1" customFormat="true" ht="11.25" hidden="false" customHeight="false" outlineLevel="0" collapsed="false">
      <c r="C692" s="2"/>
      <c r="E692" s="2"/>
      <c r="F692" s="2"/>
    </row>
    <row r="693" s="1" customFormat="true" ht="11.25" hidden="false" customHeight="false" outlineLevel="0" collapsed="false">
      <c r="C693" s="2"/>
      <c r="E693" s="2"/>
      <c r="F693" s="2"/>
    </row>
    <row r="694" s="1" customFormat="true" ht="11.25" hidden="false" customHeight="false" outlineLevel="0" collapsed="false">
      <c r="C694" s="2"/>
      <c r="E694" s="2"/>
      <c r="F694" s="2"/>
    </row>
    <row r="695" s="1" customFormat="true" ht="11.25" hidden="false" customHeight="false" outlineLevel="0" collapsed="false">
      <c r="C695" s="2"/>
      <c r="E695" s="2"/>
      <c r="F695" s="2"/>
    </row>
    <row r="696" s="1" customFormat="true" ht="11.25" hidden="false" customHeight="false" outlineLevel="0" collapsed="false">
      <c r="C696" s="2"/>
      <c r="E696" s="2"/>
      <c r="F696" s="2"/>
    </row>
    <row r="697" s="1" customFormat="true" ht="11.25" hidden="false" customHeight="false" outlineLevel="0" collapsed="false">
      <c r="C697" s="2"/>
      <c r="E697" s="2"/>
      <c r="F697" s="2"/>
    </row>
    <row r="698" s="1" customFormat="true" ht="11.25" hidden="false" customHeight="false" outlineLevel="0" collapsed="false">
      <c r="C698" s="2"/>
      <c r="E698" s="2"/>
      <c r="F698" s="2"/>
    </row>
    <row r="699" s="1" customFormat="true" ht="11.25" hidden="false" customHeight="false" outlineLevel="0" collapsed="false">
      <c r="C699" s="2"/>
      <c r="E699" s="2"/>
      <c r="F699" s="2"/>
    </row>
    <row r="700" s="1" customFormat="true" ht="11.25" hidden="false" customHeight="false" outlineLevel="0" collapsed="false">
      <c r="C700" s="2"/>
      <c r="E700" s="2"/>
      <c r="F700" s="2"/>
    </row>
    <row r="701" s="1" customFormat="true" ht="11.25" hidden="false" customHeight="false" outlineLevel="0" collapsed="false">
      <c r="C701" s="2"/>
      <c r="E701" s="2"/>
      <c r="F701" s="2"/>
    </row>
    <row r="702" s="1" customFormat="true" ht="11.25" hidden="false" customHeight="false" outlineLevel="0" collapsed="false">
      <c r="C702" s="2"/>
      <c r="E702" s="2"/>
      <c r="F702" s="2"/>
    </row>
    <row r="703" s="1" customFormat="true" ht="11.25" hidden="false" customHeight="false" outlineLevel="0" collapsed="false">
      <c r="C703" s="2"/>
      <c r="E703" s="2"/>
      <c r="F703" s="2"/>
    </row>
    <row r="704" s="1" customFormat="true" ht="11.25" hidden="false" customHeight="false" outlineLevel="0" collapsed="false">
      <c r="C704" s="2"/>
      <c r="E704" s="2"/>
      <c r="F704" s="2"/>
    </row>
    <row r="705" s="1" customFormat="true" ht="11.25" hidden="false" customHeight="false" outlineLevel="0" collapsed="false">
      <c r="C705" s="2"/>
      <c r="E705" s="2"/>
      <c r="F705" s="2"/>
    </row>
    <row r="706" s="1" customFormat="true" ht="11.25" hidden="false" customHeight="false" outlineLevel="0" collapsed="false">
      <c r="C706" s="2"/>
      <c r="E706" s="2"/>
      <c r="F706" s="2"/>
    </row>
    <row r="707" s="1" customFormat="true" ht="11.25" hidden="false" customHeight="false" outlineLevel="0" collapsed="false">
      <c r="C707" s="2"/>
      <c r="E707" s="2"/>
      <c r="F707" s="2"/>
    </row>
    <row r="708" s="1" customFormat="true" ht="11.25" hidden="false" customHeight="false" outlineLevel="0" collapsed="false">
      <c r="C708" s="2"/>
      <c r="E708" s="2"/>
      <c r="F708" s="2"/>
    </row>
    <row r="709" s="1" customFormat="true" ht="11.25" hidden="false" customHeight="false" outlineLevel="0" collapsed="false">
      <c r="C709" s="2"/>
      <c r="E709" s="2"/>
      <c r="F709" s="2"/>
    </row>
    <row r="710" s="1" customFormat="true" ht="11.25" hidden="false" customHeight="false" outlineLevel="0" collapsed="false">
      <c r="C710" s="2"/>
      <c r="E710" s="2"/>
      <c r="F710" s="2"/>
    </row>
    <row r="711" s="1" customFormat="true" ht="11.25" hidden="false" customHeight="false" outlineLevel="0" collapsed="false">
      <c r="C711" s="2"/>
      <c r="E711" s="2"/>
      <c r="F711" s="2"/>
    </row>
    <row r="712" s="1" customFormat="true" ht="11.25" hidden="false" customHeight="false" outlineLevel="0" collapsed="false">
      <c r="C712" s="2"/>
      <c r="E712" s="2"/>
      <c r="F712" s="2"/>
    </row>
    <row r="713" s="1" customFormat="true" ht="11.25" hidden="false" customHeight="false" outlineLevel="0" collapsed="false">
      <c r="C713" s="2"/>
      <c r="E713" s="2"/>
      <c r="F713" s="2"/>
    </row>
    <row r="714" s="1" customFormat="true" ht="11.25" hidden="false" customHeight="false" outlineLevel="0" collapsed="false">
      <c r="C714" s="2"/>
      <c r="E714" s="2"/>
      <c r="F714" s="2"/>
    </row>
    <row r="715" s="1" customFormat="true" ht="11.25" hidden="false" customHeight="false" outlineLevel="0" collapsed="false">
      <c r="C715" s="2"/>
      <c r="E715" s="2"/>
      <c r="F715" s="2"/>
    </row>
    <row r="716" s="1" customFormat="true" ht="11.25" hidden="false" customHeight="false" outlineLevel="0" collapsed="false">
      <c r="C716" s="2"/>
      <c r="E716" s="2"/>
      <c r="F716" s="2"/>
    </row>
    <row r="717" s="1" customFormat="true" ht="11.25" hidden="false" customHeight="false" outlineLevel="0" collapsed="false">
      <c r="C717" s="2"/>
      <c r="E717" s="2"/>
      <c r="F717" s="2"/>
    </row>
    <row r="718" s="1" customFormat="true" ht="11.25" hidden="false" customHeight="false" outlineLevel="0" collapsed="false">
      <c r="C718" s="2"/>
      <c r="E718" s="2"/>
      <c r="F718" s="2"/>
    </row>
    <row r="719" s="1" customFormat="true" ht="11.25" hidden="false" customHeight="false" outlineLevel="0" collapsed="false">
      <c r="C719" s="2"/>
      <c r="E719" s="2"/>
      <c r="F719" s="2"/>
    </row>
    <row r="720" s="1" customFormat="true" ht="11.25" hidden="false" customHeight="false" outlineLevel="0" collapsed="false">
      <c r="C720" s="2"/>
      <c r="E720" s="2"/>
      <c r="F720" s="2"/>
    </row>
    <row r="721" s="1" customFormat="true" ht="11.25" hidden="false" customHeight="false" outlineLevel="0" collapsed="false">
      <c r="C721" s="2"/>
      <c r="E721" s="2"/>
      <c r="F721" s="2"/>
    </row>
    <row r="722" s="1" customFormat="true" ht="11.25" hidden="false" customHeight="false" outlineLevel="0" collapsed="false">
      <c r="C722" s="2"/>
      <c r="E722" s="2"/>
      <c r="F722" s="2"/>
    </row>
    <row r="723" s="1" customFormat="true" ht="11.25" hidden="false" customHeight="false" outlineLevel="0" collapsed="false">
      <c r="C723" s="2"/>
      <c r="E723" s="2"/>
      <c r="F723" s="2"/>
    </row>
    <row r="724" s="1" customFormat="true" ht="11.25" hidden="false" customHeight="false" outlineLevel="0" collapsed="false">
      <c r="C724" s="2"/>
      <c r="E724" s="2"/>
      <c r="F724" s="2"/>
    </row>
    <row r="725" s="1" customFormat="true" ht="11.25" hidden="false" customHeight="false" outlineLevel="0" collapsed="false">
      <c r="C725" s="2"/>
      <c r="E725" s="2"/>
      <c r="F725" s="2"/>
    </row>
    <row r="726" s="1" customFormat="true" ht="11.25" hidden="false" customHeight="false" outlineLevel="0" collapsed="false">
      <c r="C726" s="2"/>
      <c r="E726" s="2"/>
      <c r="F726" s="2"/>
    </row>
    <row r="727" s="1" customFormat="true" ht="11.25" hidden="false" customHeight="false" outlineLevel="0" collapsed="false">
      <c r="C727" s="2"/>
      <c r="E727" s="2"/>
      <c r="F727" s="2"/>
    </row>
    <row r="728" s="1" customFormat="true" ht="11.25" hidden="false" customHeight="false" outlineLevel="0" collapsed="false">
      <c r="C728" s="2"/>
      <c r="E728" s="2"/>
      <c r="F728" s="2"/>
    </row>
    <row r="729" s="1" customFormat="true" ht="11.25" hidden="false" customHeight="false" outlineLevel="0" collapsed="false">
      <c r="C729" s="2"/>
      <c r="E729" s="2"/>
      <c r="F729" s="2"/>
    </row>
    <row r="730" s="1" customFormat="true" ht="11.25" hidden="false" customHeight="false" outlineLevel="0" collapsed="false">
      <c r="C730" s="2"/>
      <c r="E730" s="2"/>
      <c r="F730" s="2"/>
    </row>
    <row r="731" s="1" customFormat="true" ht="11.25" hidden="false" customHeight="false" outlineLevel="0" collapsed="false">
      <c r="C731" s="2"/>
      <c r="E731" s="2"/>
      <c r="F731" s="2"/>
    </row>
    <row r="732" s="1" customFormat="true" ht="11.25" hidden="false" customHeight="false" outlineLevel="0" collapsed="false">
      <c r="C732" s="2"/>
      <c r="E732" s="2"/>
      <c r="F732" s="2"/>
    </row>
    <row r="733" s="1" customFormat="true" ht="11.25" hidden="false" customHeight="false" outlineLevel="0" collapsed="false">
      <c r="C733" s="2"/>
      <c r="E733" s="2"/>
      <c r="F733" s="2"/>
    </row>
    <row r="734" s="1" customFormat="true" ht="11.25" hidden="false" customHeight="false" outlineLevel="0" collapsed="false">
      <c r="C734" s="2"/>
      <c r="E734" s="2"/>
      <c r="F734" s="2"/>
    </row>
    <row r="735" s="1" customFormat="true" ht="11.25" hidden="false" customHeight="false" outlineLevel="0" collapsed="false">
      <c r="C735" s="2"/>
      <c r="E735" s="2"/>
      <c r="F735" s="2"/>
    </row>
    <row r="736" s="1" customFormat="true" ht="11.25" hidden="false" customHeight="false" outlineLevel="0" collapsed="false">
      <c r="C736" s="2"/>
      <c r="E736" s="2"/>
      <c r="F736" s="2"/>
    </row>
    <row r="737" s="1" customFormat="true" ht="11.25" hidden="false" customHeight="false" outlineLevel="0" collapsed="false">
      <c r="C737" s="2"/>
      <c r="E737" s="2"/>
      <c r="F737" s="2"/>
    </row>
    <row r="738" s="1" customFormat="true" ht="11.25" hidden="false" customHeight="false" outlineLevel="0" collapsed="false">
      <c r="C738" s="2"/>
      <c r="E738" s="2"/>
      <c r="F738" s="2"/>
    </row>
    <row r="739" s="1" customFormat="true" ht="11.25" hidden="false" customHeight="false" outlineLevel="0" collapsed="false">
      <c r="C739" s="2"/>
      <c r="E739" s="2"/>
      <c r="F739" s="2"/>
    </row>
    <row r="740" s="1" customFormat="true" ht="11.25" hidden="false" customHeight="false" outlineLevel="0" collapsed="false">
      <c r="C740" s="2"/>
      <c r="E740" s="2"/>
      <c r="F740" s="2"/>
    </row>
    <row r="741" s="1" customFormat="true" ht="11.25" hidden="false" customHeight="false" outlineLevel="0" collapsed="false">
      <c r="C741" s="2"/>
      <c r="E741" s="2"/>
      <c r="F741" s="2"/>
    </row>
    <row r="742" s="1" customFormat="true" ht="11.25" hidden="false" customHeight="false" outlineLevel="0" collapsed="false">
      <c r="C742" s="2"/>
      <c r="E742" s="2"/>
      <c r="F742" s="2"/>
    </row>
    <row r="743" s="1" customFormat="true" ht="11.25" hidden="false" customHeight="false" outlineLevel="0" collapsed="false">
      <c r="C743" s="2"/>
      <c r="E743" s="2"/>
      <c r="F743" s="2"/>
    </row>
    <row r="744" s="1" customFormat="true" ht="11.25" hidden="false" customHeight="false" outlineLevel="0" collapsed="false">
      <c r="C744" s="2"/>
      <c r="E744" s="2"/>
      <c r="F744" s="2"/>
    </row>
    <row r="745" s="1" customFormat="true" ht="11.25" hidden="false" customHeight="false" outlineLevel="0" collapsed="false">
      <c r="C745" s="2"/>
      <c r="E745" s="2"/>
      <c r="F745" s="2"/>
    </row>
    <row r="746" s="1" customFormat="true" ht="11.25" hidden="false" customHeight="false" outlineLevel="0" collapsed="false">
      <c r="C746" s="2"/>
      <c r="E746" s="2"/>
      <c r="F746" s="2"/>
    </row>
    <row r="747" s="1" customFormat="true" ht="11.25" hidden="false" customHeight="false" outlineLevel="0" collapsed="false">
      <c r="C747" s="2"/>
      <c r="E747" s="2"/>
      <c r="F747" s="2"/>
    </row>
    <row r="748" s="1" customFormat="true" ht="11.25" hidden="false" customHeight="false" outlineLevel="0" collapsed="false">
      <c r="C748" s="2"/>
      <c r="E748" s="2"/>
      <c r="F748" s="2"/>
    </row>
    <row r="749" s="1" customFormat="true" ht="11.25" hidden="false" customHeight="false" outlineLevel="0" collapsed="false">
      <c r="C749" s="2"/>
      <c r="E749" s="2"/>
      <c r="F749" s="2"/>
    </row>
    <row r="750" s="1" customFormat="true" ht="11.25" hidden="false" customHeight="false" outlineLevel="0" collapsed="false">
      <c r="C750" s="2"/>
      <c r="E750" s="2"/>
      <c r="F750" s="2"/>
    </row>
    <row r="751" s="1" customFormat="true" ht="11.25" hidden="false" customHeight="false" outlineLevel="0" collapsed="false">
      <c r="C751" s="2"/>
      <c r="E751" s="2"/>
      <c r="F751" s="2"/>
    </row>
    <row r="752" s="1" customFormat="true" ht="11.25" hidden="false" customHeight="false" outlineLevel="0" collapsed="false">
      <c r="C752" s="2"/>
      <c r="E752" s="2"/>
      <c r="F752" s="2"/>
    </row>
    <row r="753" s="1" customFormat="true" ht="11.25" hidden="false" customHeight="false" outlineLevel="0" collapsed="false">
      <c r="C753" s="2"/>
      <c r="E753" s="2"/>
      <c r="F753" s="2"/>
    </row>
    <row r="754" s="1" customFormat="true" ht="11.25" hidden="false" customHeight="false" outlineLevel="0" collapsed="false">
      <c r="C754" s="2"/>
      <c r="E754" s="2"/>
      <c r="F754" s="2"/>
    </row>
    <row r="755" s="1" customFormat="true" ht="11.25" hidden="false" customHeight="false" outlineLevel="0" collapsed="false">
      <c r="C755" s="2"/>
      <c r="E755" s="2"/>
      <c r="F755" s="2"/>
    </row>
    <row r="756" s="1" customFormat="true" ht="11.25" hidden="false" customHeight="false" outlineLevel="0" collapsed="false">
      <c r="C756" s="2"/>
      <c r="E756" s="2"/>
      <c r="F756" s="2"/>
    </row>
    <row r="757" s="1" customFormat="true" ht="11.25" hidden="false" customHeight="false" outlineLevel="0" collapsed="false">
      <c r="C757" s="2"/>
      <c r="E757" s="2"/>
      <c r="F757" s="2"/>
    </row>
    <row r="758" s="1" customFormat="true" ht="11.25" hidden="false" customHeight="false" outlineLevel="0" collapsed="false">
      <c r="C758" s="2"/>
      <c r="E758" s="2"/>
      <c r="F758" s="2"/>
    </row>
    <row r="759" s="1" customFormat="true" ht="11.25" hidden="false" customHeight="false" outlineLevel="0" collapsed="false">
      <c r="C759" s="2"/>
      <c r="E759" s="2"/>
      <c r="F759" s="2"/>
    </row>
    <row r="760" s="1" customFormat="true" ht="11.25" hidden="false" customHeight="false" outlineLevel="0" collapsed="false">
      <c r="C760" s="2"/>
      <c r="E760" s="2"/>
      <c r="F760" s="2"/>
    </row>
    <row r="761" s="1" customFormat="true" ht="11.25" hidden="false" customHeight="false" outlineLevel="0" collapsed="false">
      <c r="C761" s="2"/>
      <c r="E761" s="2"/>
      <c r="F761" s="2"/>
    </row>
    <row r="762" s="1" customFormat="true" ht="11.25" hidden="false" customHeight="false" outlineLevel="0" collapsed="false">
      <c r="C762" s="2"/>
      <c r="E762" s="2"/>
      <c r="F762" s="2"/>
    </row>
    <row r="763" s="1" customFormat="true" ht="11.25" hidden="false" customHeight="false" outlineLevel="0" collapsed="false">
      <c r="C763" s="2"/>
      <c r="E763" s="2"/>
      <c r="F763" s="2"/>
    </row>
    <row r="764" s="1" customFormat="true" ht="11.25" hidden="false" customHeight="false" outlineLevel="0" collapsed="false">
      <c r="C764" s="2"/>
      <c r="E764" s="2"/>
      <c r="F764" s="2"/>
    </row>
    <row r="765" s="1" customFormat="true" ht="11.25" hidden="false" customHeight="false" outlineLevel="0" collapsed="false">
      <c r="C765" s="2"/>
      <c r="E765" s="2"/>
      <c r="F765" s="2"/>
    </row>
    <row r="766" s="1" customFormat="true" ht="11.25" hidden="false" customHeight="false" outlineLevel="0" collapsed="false">
      <c r="C766" s="2"/>
      <c r="E766" s="2"/>
      <c r="F766" s="2"/>
    </row>
    <row r="767" s="1" customFormat="true" ht="11.25" hidden="false" customHeight="false" outlineLevel="0" collapsed="false">
      <c r="C767" s="2"/>
      <c r="E767" s="2"/>
      <c r="F767" s="2"/>
    </row>
    <row r="768" s="1" customFormat="true" ht="11.25" hidden="false" customHeight="false" outlineLevel="0" collapsed="false">
      <c r="C768" s="2"/>
      <c r="E768" s="2"/>
      <c r="F768" s="2"/>
    </row>
    <row r="769" s="1" customFormat="true" ht="11.25" hidden="false" customHeight="false" outlineLevel="0" collapsed="false">
      <c r="C769" s="2"/>
      <c r="E769" s="2"/>
      <c r="F769" s="2"/>
    </row>
    <row r="770" s="1" customFormat="true" ht="11.25" hidden="false" customHeight="false" outlineLevel="0" collapsed="false">
      <c r="C770" s="2"/>
      <c r="E770" s="2"/>
      <c r="F770" s="2"/>
    </row>
    <row r="771" s="1" customFormat="true" ht="11.25" hidden="false" customHeight="false" outlineLevel="0" collapsed="false">
      <c r="C771" s="2"/>
      <c r="E771" s="2"/>
      <c r="F771" s="2"/>
    </row>
    <row r="772" s="1" customFormat="true" ht="11.25" hidden="false" customHeight="false" outlineLevel="0" collapsed="false">
      <c r="C772" s="2"/>
      <c r="E772" s="2"/>
      <c r="F772" s="2"/>
    </row>
    <row r="773" s="1" customFormat="true" ht="11.25" hidden="false" customHeight="false" outlineLevel="0" collapsed="false">
      <c r="C773" s="2"/>
      <c r="E773" s="2"/>
      <c r="F773" s="2"/>
    </row>
    <row r="774" s="1" customFormat="true" ht="11.25" hidden="false" customHeight="false" outlineLevel="0" collapsed="false">
      <c r="C774" s="2"/>
      <c r="E774" s="2"/>
      <c r="F774" s="2"/>
    </row>
    <row r="775" s="1" customFormat="true" ht="11.25" hidden="false" customHeight="false" outlineLevel="0" collapsed="false">
      <c r="C775" s="2"/>
      <c r="E775" s="2"/>
      <c r="F775" s="2"/>
    </row>
    <row r="776" s="1" customFormat="true" ht="11.25" hidden="false" customHeight="false" outlineLevel="0" collapsed="false">
      <c r="C776" s="2"/>
      <c r="E776" s="2"/>
      <c r="F776" s="2"/>
    </row>
    <row r="777" s="1" customFormat="true" ht="11.25" hidden="false" customHeight="false" outlineLevel="0" collapsed="false">
      <c r="C777" s="2"/>
      <c r="E777" s="2"/>
      <c r="F777" s="2"/>
    </row>
    <row r="778" s="1" customFormat="true" ht="11.25" hidden="false" customHeight="false" outlineLevel="0" collapsed="false">
      <c r="C778" s="2"/>
      <c r="E778" s="2"/>
      <c r="F778" s="2"/>
    </row>
    <row r="779" s="1" customFormat="true" ht="11.25" hidden="false" customHeight="false" outlineLevel="0" collapsed="false">
      <c r="C779" s="2"/>
      <c r="E779" s="2"/>
      <c r="F779" s="2"/>
    </row>
    <row r="780" s="1" customFormat="true" ht="11.25" hidden="false" customHeight="false" outlineLevel="0" collapsed="false">
      <c r="C780" s="2"/>
      <c r="E780" s="2"/>
      <c r="F780" s="2"/>
    </row>
    <row r="781" s="1" customFormat="true" ht="11.25" hidden="false" customHeight="false" outlineLevel="0" collapsed="false">
      <c r="C781" s="2"/>
      <c r="E781" s="2"/>
      <c r="F781" s="2"/>
    </row>
    <row r="782" s="1" customFormat="true" ht="11.25" hidden="false" customHeight="false" outlineLevel="0" collapsed="false">
      <c r="C782" s="2"/>
      <c r="E782" s="2"/>
      <c r="F782" s="2"/>
    </row>
    <row r="783" s="1" customFormat="true" ht="11.25" hidden="false" customHeight="false" outlineLevel="0" collapsed="false">
      <c r="C783" s="2"/>
      <c r="E783" s="2"/>
      <c r="F783" s="2"/>
    </row>
    <row r="784" s="1" customFormat="true" ht="11.25" hidden="false" customHeight="false" outlineLevel="0" collapsed="false">
      <c r="C784" s="2"/>
      <c r="E784" s="2"/>
      <c r="F784" s="2"/>
    </row>
    <row r="785" s="1" customFormat="true" ht="11.25" hidden="false" customHeight="false" outlineLevel="0" collapsed="false">
      <c r="C785" s="2"/>
      <c r="E785" s="2"/>
      <c r="F785" s="2"/>
    </row>
    <row r="786" s="1" customFormat="true" ht="11.25" hidden="false" customHeight="false" outlineLevel="0" collapsed="false">
      <c r="C786" s="2"/>
      <c r="E786" s="2"/>
      <c r="F786" s="2"/>
    </row>
    <row r="787" s="1" customFormat="true" ht="11.25" hidden="false" customHeight="false" outlineLevel="0" collapsed="false">
      <c r="C787" s="2"/>
      <c r="E787" s="2"/>
      <c r="F787" s="2"/>
    </row>
    <row r="788" s="1" customFormat="true" ht="11.25" hidden="false" customHeight="false" outlineLevel="0" collapsed="false">
      <c r="C788" s="2"/>
      <c r="E788" s="2"/>
      <c r="F788" s="2"/>
    </row>
    <row r="789" s="1" customFormat="true" ht="11.25" hidden="false" customHeight="false" outlineLevel="0" collapsed="false">
      <c r="C789" s="2"/>
      <c r="E789" s="2"/>
      <c r="F789" s="2"/>
    </row>
    <row r="790" s="1" customFormat="true" ht="11.25" hidden="false" customHeight="false" outlineLevel="0" collapsed="false">
      <c r="C790" s="2"/>
      <c r="E790" s="2"/>
      <c r="F790" s="2"/>
    </row>
    <row r="791" s="1" customFormat="true" ht="11.25" hidden="false" customHeight="false" outlineLevel="0" collapsed="false">
      <c r="C791" s="2"/>
      <c r="E791" s="2"/>
      <c r="F791" s="2"/>
    </row>
    <row r="792" s="1" customFormat="true" ht="11.25" hidden="false" customHeight="false" outlineLevel="0" collapsed="false">
      <c r="C792" s="2"/>
      <c r="E792" s="2"/>
      <c r="F792" s="2"/>
    </row>
    <row r="793" s="1" customFormat="true" ht="11.25" hidden="false" customHeight="false" outlineLevel="0" collapsed="false">
      <c r="C793" s="2"/>
      <c r="E793" s="2"/>
      <c r="F793" s="2"/>
    </row>
    <row r="794" s="1" customFormat="true" ht="11.25" hidden="false" customHeight="false" outlineLevel="0" collapsed="false">
      <c r="C794" s="2"/>
      <c r="E794" s="2"/>
      <c r="F794" s="2"/>
    </row>
    <row r="795" s="1" customFormat="true" ht="11.25" hidden="false" customHeight="false" outlineLevel="0" collapsed="false">
      <c r="C795" s="2"/>
      <c r="E795" s="2"/>
      <c r="F795" s="2"/>
    </row>
    <row r="796" s="1" customFormat="true" ht="11.25" hidden="false" customHeight="false" outlineLevel="0" collapsed="false">
      <c r="C796" s="2"/>
      <c r="E796" s="2"/>
      <c r="F796" s="2"/>
    </row>
    <row r="797" s="1" customFormat="true" ht="11.25" hidden="false" customHeight="false" outlineLevel="0" collapsed="false">
      <c r="C797" s="2"/>
      <c r="E797" s="2"/>
      <c r="F797" s="2"/>
    </row>
    <row r="798" s="1" customFormat="true" ht="11.25" hidden="false" customHeight="false" outlineLevel="0" collapsed="false">
      <c r="C798" s="2"/>
      <c r="E798" s="2"/>
      <c r="F798" s="2"/>
    </row>
    <row r="799" s="1" customFormat="true" ht="11.25" hidden="false" customHeight="false" outlineLevel="0" collapsed="false">
      <c r="C799" s="2"/>
      <c r="E799" s="2"/>
      <c r="F799" s="2"/>
    </row>
    <row r="800" s="1" customFormat="true" ht="11.25" hidden="false" customHeight="false" outlineLevel="0" collapsed="false">
      <c r="C800" s="2"/>
      <c r="E800" s="2"/>
      <c r="F800" s="2"/>
    </row>
    <row r="801" s="1" customFormat="true" ht="11.25" hidden="false" customHeight="false" outlineLevel="0" collapsed="false">
      <c r="C801" s="2"/>
      <c r="E801" s="2"/>
      <c r="F801" s="2"/>
    </row>
    <row r="802" s="1" customFormat="true" ht="11.25" hidden="false" customHeight="false" outlineLevel="0" collapsed="false">
      <c r="C802" s="2"/>
      <c r="E802" s="2"/>
      <c r="F802" s="2"/>
    </row>
    <row r="803" s="1" customFormat="true" ht="11.25" hidden="false" customHeight="false" outlineLevel="0" collapsed="false">
      <c r="C803" s="2"/>
      <c r="E803" s="2"/>
      <c r="F803" s="2"/>
    </row>
    <row r="804" s="1" customFormat="true" ht="11.25" hidden="false" customHeight="false" outlineLevel="0" collapsed="false">
      <c r="C804" s="2"/>
      <c r="E804" s="2"/>
      <c r="F804" s="2"/>
    </row>
    <row r="805" s="1" customFormat="true" ht="11.25" hidden="false" customHeight="false" outlineLevel="0" collapsed="false">
      <c r="C805" s="2"/>
      <c r="E805" s="2"/>
      <c r="F805" s="2"/>
    </row>
    <row r="806" s="1" customFormat="true" ht="11.25" hidden="false" customHeight="false" outlineLevel="0" collapsed="false">
      <c r="C806" s="2"/>
      <c r="E806" s="2"/>
      <c r="F806" s="2"/>
    </row>
    <row r="807" s="1" customFormat="true" ht="11.25" hidden="false" customHeight="false" outlineLevel="0" collapsed="false">
      <c r="C807" s="2"/>
      <c r="E807" s="2"/>
      <c r="F807" s="2"/>
    </row>
    <row r="808" s="1" customFormat="true" ht="11.25" hidden="false" customHeight="false" outlineLevel="0" collapsed="false">
      <c r="C808" s="2"/>
      <c r="E808" s="2"/>
      <c r="F808" s="2"/>
    </row>
    <row r="809" s="1" customFormat="true" ht="11.25" hidden="false" customHeight="false" outlineLevel="0" collapsed="false">
      <c r="C809" s="2"/>
      <c r="E809" s="2"/>
      <c r="F809" s="2"/>
    </row>
    <row r="810" s="1" customFormat="true" ht="11.25" hidden="false" customHeight="false" outlineLevel="0" collapsed="false">
      <c r="C810" s="2"/>
      <c r="E810" s="2"/>
      <c r="F810" s="2"/>
    </row>
    <row r="811" s="1" customFormat="true" ht="11.25" hidden="false" customHeight="false" outlineLevel="0" collapsed="false">
      <c r="C811" s="2"/>
      <c r="E811" s="2"/>
      <c r="F811" s="2"/>
    </row>
    <row r="812" s="1" customFormat="true" ht="11.25" hidden="false" customHeight="false" outlineLevel="0" collapsed="false">
      <c r="C812" s="2"/>
      <c r="E812" s="2"/>
      <c r="F812" s="2"/>
    </row>
    <row r="813" s="1" customFormat="true" ht="11.25" hidden="false" customHeight="false" outlineLevel="0" collapsed="false">
      <c r="C813" s="2"/>
      <c r="E813" s="2"/>
      <c r="F813" s="2"/>
    </row>
    <row r="814" s="1" customFormat="true" ht="11.25" hidden="false" customHeight="false" outlineLevel="0" collapsed="false">
      <c r="C814" s="2"/>
      <c r="E814" s="2"/>
      <c r="F814" s="2"/>
    </row>
    <row r="815" s="1" customFormat="true" ht="11.25" hidden="false" customHeight="false" outlineLevel="0" collapsed="false">
      <c r="C815" s="2"/>
      <c r="E815" s="2"/>
      <c r="F815" s="2"/>
    </row>
    <row r="816" s="1" customFormat="true" ht="11.25" hidden="false" customHeight="false" outlineLevel="0" collapsed="false">
      <c r="C816" s="2"/>
      <c r="E816" s="2"/>
      <c r="F816" s="2"/>
    </row>
    <row r="817" s="1" customFormat="true" ht="11.25" hidden="false" customHeight="false" outlineLevel="0" collapsed="false">
      <c r="C817" s="2"/>
      <c r="E817" s="2"/>
      <c r="F817" s="2"/>
    </row>
    <row r="818" s="1" customFormat="true" ht="11.25" hidden="false" customHeight="false" outlineLevel="0" collapsed="false">
      <c r="C818" s="2"/>
      <c r="E818" s="2"/>
      <c r="F818" s="2"/>
    </row>
    <row r="819" s="1" customFormat="true" ht="11.25" hidden="false" customHeight="false" outlineLevel="0" collapsed="false">
      <c r="C819" s="2"/>
      <c r="E819" s="2"/>
      <c r="F819" s="2"/>
    </row>
    <row r="820" s="1" customFormat="true" ht="11.25" hidden="false" customHeight="false" outlineLevel="0" collapsed="false">
      <c r="C820" s="2"/>
      <c r="E820" s="2"/>
      <c r="F820" s="2"/>
    </row>
    <row r="821" s="1" customFormat="true" ht="11.25" hidden="false" customHeight="false" outlineLevel="0" collapsed="false">
      <c r="C821" s="2"/>
      <c r="E821" s="2"/>
      <c r="F821" s="2"/>
    </row>
    <row r="822" s="1" customFormat="true" ht="11.25" hidden="false" customHeight="false" outlineLevel="0" collapsed="false">
      <c r="C822" s="2"/>
      <c r="E822" s="2"/>
      <c r="F822" s="2"/>
    </row>
    <row r="823" s="1" customFormat="true" ht="11.25" hidden="false" customHeight="false" outlineLevel="0" collapsed="false">
      <c r="C823" s="2"/>
      <c r="E823" s="2"/>
      <c r="F823" s="2"/>
    </row>
    <row r="824" s="1" customFormat="true" ht="11.25" hidden="false" customHeight="false" outlineLevel="0" collapsed="false">
      <c r="C824" s="2"/>
      <c r="E824" s="2"/>
      <c r="F824" s="2"/>
    </row>
    <row r="825" s="1" customFormat="true" ht="11.25" hidden="false" customHeight="false" outlineLevel="0" collapsed="false">
      <c r="C825" s="2"/>
      <c r="E825" s="2"/>
      <c r="F825" s="2"/>
    </row>
    <row r="826" s="1" customFormat="true" ht="11.25" hidden="false" customHeight="false" outlineLevel="0" collapsed="false">
      <c r="C826" s="2"/>
      <c r="E826" s="2"/>
      <c r="F826" s="2"/>
    </row>
    <row r="827" s="1" customFormat="true" ht="11.25" hidden="false" customHeight="false" outlineLevel="0" collapsed="false">
      <c r="C827" s="2"/>
      <c r="E827" s="2"/>
      <c r="F827" s="2"/>
    </row>
    <row r="828" s="1" customFormat="true" ht="11.25" hidden="false" customHeight="false" outlineLevel="0" collapsed="false">
      <c r="C828" s="2"/>
      <c r="E828" s="2"/>
      <c r="F828" s="2"/>
    </row>
    <row r="829" s="1" customFormat="true" ht="11.25" hidden="false" customHeight="false" outlineLevel="0" collapsed="false">
      <c r="C829" s="2"/>
      <c r="E829" s="2"/>
      <c r="F829" s="2"/>
    </row>
    <row r="830" s="1" customFormat="true" ht="11.25" hidden="false" customHeight="false" outlineLevel="0" collapsed="false">
      <c r="C830" s="2"/>
      <c r="E830" s="2"/>
      <c r="F830" s="2"/>
    </row>
    <row r="831" s="1" customFormat="true" ht="11.25" hidden="false" customHeight="false" outlineLevel="0" collapsed="false">
      <c r="C831" s="2"/>
      <c r="E831" s="2"/>
      <c r="F831" s="2"/>
    </row>
    <row r="832" s="1" customFormat="true" ht="11.25" hidden="false" customHeight="false" outlineLevel="0" collapsed="false">
      <c r="C832" s="2"/>
      <c r="E832" s="2"/>
      <c r="F832" s="2"/>
    </row>
    <row r="833" s="1" customFormat="true" ht="11.25" hidden="false" customHeight="false" outlineLevel="0" collapsed="false">
      <c r="C833" s="2"/>
      <c r="E833" s="2"/>
      <c r="F833" s="2"/>
    </row>
    <row r="834" s="1" customFormat="true" ht="11.25" hidden="false" customHeight="false" outlineLevel="0" collapsed="false">
      <c r="C834" s="2"/>
      <c r="E834" s="2"/>
      <c r="F834" s="2"/>
    </row>
    <row r="835" s="1" customFormat="true" ht="11.25" hidden="false" customHeight="false" outlineLevel="0" collapsed="false">
      <c r="C835" s="2"/>
      <c r="E835" s="2"/>
      <c r="F835" s="2"/>
    </row>
    <row r="836" s="1" customFormat="true" ht="11.25" hidden="false" customHeight="false" outlineLevel="0" collapsed="false">
      <c r="C836" s="2"/>
      <c r="E836" s="2"/>
      <c r="F836" s="2"/>
    </row>
    <row r="837" s="1" customFormat="true" ht="11.25" hidden="false" customHeight="false" outlineLevel="0" collapsed="false">
      <c r="C837" s="2"/>
      <c r="E837" s="2"/>
      <c r="F837" s="2"/>
    </row>
    <row r="838" s="1" customFormat="true" ht="11.25" hidden="false" customHeight="false" outlineLevel="0" collapsed="false">
      <c r="C838" s="2"/>
      <c r="E838" s="2"/>
      <c r="F838" s="2"/>
    </row>
    <row r="839" s="1" customFormat="true" ht="11.25" hidden="false" customHeight="false" outlineLevel="0" collapsed="false">
      <c r="C839" s="2"/>
      <c r="E839" s="2"/>
      <c r="F839" s="2"/>
    </row>
    <row r="840" s="1" customFormat="true" ht="11.25" hidden="false" customHeight="false" outlineLevel="0" collapsed="false">
      <c r="C840" s="2"/>
      <c r="E840" s="2"/>
      <c r="F840" s="2"/>
    </row>
    <row r="841" s="1" customFormat="true" ht="11.25" hidden="false" customHeight="false" outlineLevel="0" collapsed="false">
      <c r="C841" s="2"/>
      <c r="E841" s="2"/>
      <c r="F841" s="2"/>
    </row>
    <row r="842" s="1" customFormat="true" ht="11.25" hidden="false" customHeight="false" outlineLevel="0" collapsed="false">
      <c r="C842" s="2"/>
      <c r="E842" s="2"/>
      <c r="F842" s="2"/>
    </row>
    <row r="843" s="1" customFormat="true" ht="11.25" hidden="false" customHeight="false" outlineLevel="0" collapsed="false">
      <c r="C843" s="2"/>
      <c r="E843" s="2"/>
      <c r="F843" s="2"/>
    </row>
    <row r="844" s="1" customFormat="true" ht="11.25" hidden="false" customHeight="false" outlineLevel="0" collapsed="false">
      <c r="C844" s="2"/>
      <c r="E844" s="2"/>
      <c r="F844" s="2"/>
    </row>
    <row r="845" s="1" customFormat="true" ht="11.25" hidden="false" customHeight="false" outlineLevel="0" collapsed="false">
      <c r="C845" s="2"/>
      <c r="E845" s="2"/>
      <c r="F845" s="2"/>
    </row>
    <row r="846" s="1" customFormat="true" ht="11.25" hidden="false" customHeight="false" outlineLevel="0" collapsed="false">
      <c r="C846" s="2"/>
      <c r="E846" s="2"/>
      <c r="F846" s="2"/>
    </row>
    <row r="847" s="1" customFormat="true" ht="11.25" hidden="false" customHeight="false" outlineLevel="0" collapsed="false">
      <c r="C847" s="2"/>
      <c r="E847" s="2"/>
      <c r="F847" s="2"/>
    </row>
    <row r="848" s="1" customFormat="true" ht="11.25" hidden="false" customHeight="false" outlineLevel="0" collapsed="false">
      <c r="C848" s="2"/>
      <c r="E848" s="2"/>
      <c r="F848" s="2"/>
    </row>
    <row r="849" s="1" customFormat="true" ht="11.25" hidden="false" customHeight="false" outlineLevel="0" collapsed="false">
      <c r="C849" s="2"/>
      <c r="E849" s="2"/>
      <c r="F849" s="2"/>
    </row>
    <row r="850" s="1" customFormat="true" ht="11.25" hidden="false" customHeight="false" outlineLevel="0" collapsed="false">
      <c r="C850" s="2"/>
      <c r="E850" s="2"/>
      <c r="F850" s="2"/>
    </row>
    <row r="851" s="1" customFormat="true" ht="11.25" hidden="false" customHeight="false" outlineLevel="0" collapsed="false">
      <c r="C851" s="2"/>
      <c r="E851" s="2"/>
      <c r="F851" s="2"/>
    </row>
    <row r="852" s="1" customFormat="true" ht="11.25" hidden="false" customHeight="false" outlineLevel="0" collapsed="false">
      <c r="C852" s="2"/>
      <c r="E852" s="2"/>
      <c r="F852" s="2"/>
    </row>
    <row r="853" s="1" customFormat="true" ht="11.25" hidden="false" customHeight="false" outlineLevel="0" collapsed="false">
      <c r="C853" s="2"/>
      <c r="E853" s="2"/>
      <c r="F853" s="2"/>
    </row>
    <row r="854" s="1" customFormat="true" ht="11.25" hidden="false" customHeight="false" outlineLevel="0" collapsed="false">
      <c r="C854" s="2"/>
      <c r="E854" s="2"/>
      <c r="F854" s="2"/>
    </row>
    <row r="855" s="1" customFormat="true" ht="11.25" hidden="false" customHeight="false" outlineLevel="0" collapsed="false">
      <c r="C855" s="2"/>
      <c r="E855" s="2"/>
      <c r="F855" s="2"/>
    </row>
    <row r="856" s="1" customFormat="true" ht="11.25" hidden="false" customHeight="false" outlineLevel="0" collapsed="false">
      <c r="C856" s="2"/>
      <c r="E856" s="2"/>
      <c r="F856" s="2"/>
    </row>
    <row r="857" s="1" customFormat="true" ht="11.25" hidden="false" customHeight="false" outlineLevel="0" collapsed="false">
      <c r="C857" s="2"/>
      <c r="E857" s="2"/>
      <c r="F857" s="2"/>
    </row>
    <row r="858" s="1" customFormat="true" ht="11.25" hidden="false" customHeight="false" outlineLevel="0" collapsed="false">
      <c r="C858" s="2"/>
      <c r="E858" s="2"/>
      <c r="F858" s="2"/>
    </row>
    <row r="859" s="1" customFormat="true" ht="11.25" hidden="false" customHeight="false" outlineLevel="0" collapsed="false">
      <c r="C859" s="2"/>
      <c r="E859" s="2"/>
      <c r="F859" s="2"/>
    </row>
    <row r="860" s="1" customFormat="true" ht="11.25" hidden="false" customHeight="false" outlineLevel="0" collapsed="false">
      <c r="C860" s="2"/>
      <c r="E860" s="2"/>
      <c r="F860" s="2"/>
    </row>
    <row r="861" s="1" customFormat="true" ht="11.25" hidden="false" customHeight="false" outlineLevel="0" collapsed="false">
      <c r="C861" s="2"/>
      <c r="E861" s="2"/>
      <c r="F861" s="2"/>
    </row>
    <row r="862" s="1" customFormat="true" ht="11.25" hidden="false" customHeight="false" outlineLevel="0" collapsed="false">
      <c r="C862" s="2"/>
      <c r="E862" s="2"/>
      <c r="F862" s="2"/>
    </row>
    <row r="863" s="1" customFormat="true" ht="11.25" hidden="false" customHeight="false" outlineLevel="0" collapsed="false">
      <c r="C863" s="2"/>
      <c r="E863" s="2"/>
      <c r="F863" s="2"/>
    </row>
    <row r="864" s="1" customFormat="true" ht="11.25" hidden="false" customHeight="false" outlineLevel="0" collapsed="false">
      <c r="C864" s="2"/>
      <c r="E864" s="2"/>
      <c r="F864" s="2"/>
    </row>
    <row r="865" s="1" customFormat="true" ht="11.25" hidden="false" customHeight="false" outlineLevel="0" collapsed="false">
      <c r="C865" s="2"/>
      <c r="E865" s="2"/>
      <c r="F865" s="2"/>
    </row>
    <row r="866" s="1" customFormat="true" ht="11.25" hidden="false" customHeight="false" outlineLevel="0" collapsed="false">
      <c r="C866" s="2"/>
      <c r="E866" s="2"/>
      <c r="F866" s="2"/>
    </row>
    <row r="867" s="1" customFormat="true" ht="11.25" hidden="false" customHeight="false" outlineLevel="0" collapsed="false">
      <c r="C867" s="2"/>
      <c r="E867" s="2"/>
      <c r="F867" s="2"/>
    </row>
    <row r="868" s="1" customFormat="true" ht="11.25" hidden="false" customHeight="false" outlineLevel="0" collapsed="false">
      <c r="C868" s="2"/>
      <c r="E868" s="2"/>
      <c r="F868" s="2"/>
    </row>
    <row r="869" s="1" customFormat="true" ht="11.25" hidden="false" customHeight="false" outlineLevel="0" collapsed="false">
      <c r="C869" s="2"/>
      <c r="E869" s="2"/>
      <c r="F869" s="2"/>
    </row>
    <row r="870" s="1" customFormat="true" ht="11.25" hidden="false" customHeight="false" outlineLevel="0" collapsed="false">
      <c r="C870" s="2"/>
      <c r="E870" s="2"/>
      <c r="F870" s="2"/>
    </row>
    <row r="871" s="1" customFormat="true" ht="11.25" hidden="false" customHeight="false" outlineLevel="0" collapsed="false">
      <c r="C871" s="2"/>
      <c r="E871" s="2"/>
      <c r="F871" s="2"/>
    </row>
    <row r="872" s="1" customFormat="true" ht="11.25" hidden="false" customHeight="false" outlineLevel="0" collapsed="false">
      <c r="C872" s="2"/>
      <c r="E872" s="2"/>
      <c r="F872" s="2"/>
    </row>
    <row r="873" s="1" customFormat="true" ht="11.25" hidden="false" customHeight="false" outlineLevel="0" collapsed="false">
      <c r="C873" s="2"/>
      <c r="E873" s="2"/>
      <c r="F873" s="2"/>
    </row>
    <row r="874" s="1" customFormat="true" ht="11.25" hidden="false" customHeight="false" outlineLevel="0" collapsed="false">
      <c r="C874" s="2"/>
      <c r="E874" s="2"/>
      <c r="F874" s="2"/>
    </row>
    <row r="875" s="1" customFormat="true" ht="11.25" hidden="false" customHeight="false" outlineLevel="0" collapsed="false">
      <c r="C875" s="2"/>
      <c r="E875" s="2"/>
      <c r="F875" s="2"/>
    </row>
    <row r="876" s="1" customFormat="true" ht="11.25" hidden="false" customHeight="false" outlineLevel="0" collapsed="false">
      <c r="C876" s="2"/>
      <c r="E876" s="2"/>
      <c r="F876" s="2"/>
    </row>
    <row r="877" s="1" customFormat="true" ht="11.25" hidden="false" customHeight="false" outlineLevel="0" collapsed="false">
      <c r="C877" s="2"/>
      <c r="E877" s="2"/>
      <c r="F877" s="2"/>
    </row>
    <row r="878" s="1" customFormat="true" ht="11.25" hidden="false" customHeight="false" outlineLevel="0" collapsed="false">
      <c r="C878" s="2"/>
      <c r="E878" s="2"/>
      <c r="F878" s="2"/>
    </row>
    <row r="879" s="1" customFormat="true" ht="11.25" hidden="false" customHeight="false" outlineLevel="0" collapsed="false">
      <c r="C879" s="2"/>
      <c r="E879" s="2"/>
      <c r="F879" s="2"/>
    </row>
    <row r="880" s="1" customFormat="true" ht="11.25" hidden="false" customHeight="false" outlineLevel="0" collapsed="false">
      <c r="C880" s="2"/>
      <c r="E880" s="2"/>
      <c r="F880" s="2"/>
    </row>
    <row r="881" s="1" customFormat="true" ht="11.25" hidden="false" customHeight="false" outlineLevel="0" collapsed="false">
      <c r="C881" s="2"/>
      <c r="E881" s="2"/>
      <c r="F881" s="2"/>
    </row>
    <row r="882" s="1" customFormat="true" ht="11.25" hidden="false" customHeight="false" outlineLevel="0" collapsed="false">
      <c r="C882" s="2"/>
      <c r="E882" s="2"/>
      <c r="F882" s="2"/>
    </row>
    <row r="883" s="1" customFormat="true" ht="11.25" hidden="false" customHeight="false" outlineLevel="0" collapsed="false">
      <c r="C883" s="2"/>
      <c r="E883" s="2"/>
      <c r="F883" s="2"/>
    </row>
    <row r="884" s="1" customFormat="true" ht="11.25" hidden="false" customHeight="false" outlineLevel="0" collapsed="false">
      <c r="C884" s="2"/>
      <c r="E884" s="2"/>
      <c r="F884" s="2"/>
    </row>
    <row r="885" s="1" customFormat="true" ht="11.25" hidden="false" customHeight="false" outlineLevel="0" collapsed="false">
      <c r="C885" s="2"/>
      <c r="E885" s="2"/>
      <c r="F885" s="2"/>
    </row>
    <row r="886" s="1" customFormat="true" ht="11.25" hidden="false" customHeight="false" outlineLevel="0" collapsed="false">
      <c r="C886" s="2"/>
      <c r="E886" s="2"/>
      <c r="F886" s="2"/>
    </row>
    <row r="887" s="1" customFormat="true" ht="11.25" hidden="false" customHeight="false" outlineLevel="0" collapsed="false">
      <c r="C887" s="2"/>
      <c r="E887" s="2"/>
      <c r="F887" s="2"/>
    </row>
    <row r="888" s="1" customFormat="true" ht="11.25" hidden="false" customHeight="false" outlineLevel="0" collapsed="false">
      <c r="C888" s="2"/>
      <c r="E888" s="2"/>
      <c r="F888" s="2"/>
    </row>
    <row r="889" s="1" customFormat="true" ht="11.25" hidden="false" customHeight="false" outlineLevel="0" collapsed="false">
      <c r="C889" s="2"/>
      <c r="E889" s="2"/>
      <c r="F889" s="2"/>
    </row>
    <row r="890" s="1" customFormat="true" ht="11.25" hidden="false" customHeight="false" outlineLevel="0" collapsed="false">
      <c r="C890" s="2"/>
      <c r="E890" s="2"/>
      <c r="F890" s="2"/>
    </row>
    <row r="891" s="1" customFormat="true" ht="11.25" hidden="false" customHeight="false" outlineLevel="0" collapsed="false">
      <c r="C891" s="2"/>
      <c r="E891" s="2"/>
      <c r="F891" s="2"/>
    </row>
    <row r="892" s="1" customFormat="true" ht="11.25" hidden="false" customHeight="false" outlineLevel="0" collapsed="false">
      <c r="C892" s="2"/>
      <c r="E892" s="2"/>
      <c r="F892" s="2"/>
    </row>
    <row r="893" s="1" customFormat="true" ht="11.25" hidden="false" customHeight="false" outlineLevel="0" collapsed="false">
      <c r="C893" s="2"/>
      <c r="E893" s="2"/>
      <c r="F893" s="2"/>
    </row>
    <row r="894" s="1" customFormat="true" ht="11.25" hidden="false" customHeight="false" outlineLevel="0" collapsed="false">
      <c r="C894" s="2"/>
      <c r="E894" s="2"/>
      <c r="F894" s="2"/>
    </row>
    <row r="895" s="1" customFormat="true" ht="11.25" hidden="false" customHeight="false" outlineLevel="0" collapsed="false">
      <c r="C895" s="2"/>
      <c r="E895" s="2"/>
      <c r="F895" s="2"/>
    </row>
    <row r="896" s="1" customFormat="true" ht="11.25" hidden="false" customHeight="false" outlineLevel="0" collapsed="false">
      <c r="C896" s="2"/>
      <c r="E896" s="2"/>
      <c r="F896" s="2"/>
    </row>
    <row r="897" s="1" customFormat="true" ht="11.25" hidden="false" customHeight="false" outlineLevel="0" collapsed="false">
      <c r="C897" s="2"/>
      <c r="E897" s="2"/>
      <c r="F897" s="2"/>
    </row>
    <row r="898" s="1" customFormat="true" ht="11.25" hidden="false" customHeight="false" outlineLevel="0" collapsed="false">
      <c r="C898" s="2"/>
      <c r="E898" s="2"/>
      <c r="F898" s="2"/>
    </row>
    <row r="899" s="1" customFormat="true" ht="11.25" hidden="false" customHeight="false" outlineLevel="0" collapsed="false">
      <c r="C899" s="2"/>
      <c r="E899" s="2"/>
      <c r="F899" s="2"/>
    </row>
    <row r="900" s="1" customFormat="true" ht="11.25" hidden="false" customHeight="false" outlineLevel="0" collapsed="false">
      <c r="C900" s="2"/>
      <c r="E900" s="2"/>
      <c r="F900" s="2"/>
    </row>
    <row r="901" s="1" customFormat="true" ht="11.25" hidden="false" customHeight="false" outlineLevel="0" collapsed="false">
      <c r="C901" s="2"/>
      <c r="E901" s="2"/>
      <c r="F901" s="2"/>
    </row>
    <row r="902" s="1" customFormat="true" ht="11.25" hidden="false" customHeight="false" outlineLevel="0" collapsed="false">
      <c r="C902" s="2"/>
      <c r="E902" s="2"/>
      <c r="F902" s="2"/>
    </row>
    <row r="903" s="1" customFormat="true" ht="11.25" hidden="false" customHeight="false" outlineLevel="0" collapsed="false">
      <c r="C903" s="2"/>
      <c r="E903" s="2"/>
      <c r="F903" s="2"/>
    </row>
    <row r="904" s="1" customFormat="true" ht="11.25" hidden="false" customHeight="false" outlineLevel="0" collapsed="false">
      <c r="C904" s="2"/>
      <c r="E904" s="2"/>
      <c r="F904" s="2"/>
    </row>
    <row r="905" s="1" customFormat="true" ht="11.25" hidden="false" customHeight="false" outlineLevel="0" collapsed="false">
      <c r="C905" s="2"/>
      <c r="E905" s="2"/>
      <c r="F905" s="2"/>
    </row>
    <row r="906" s="1" customFormat="true" ht="11.25" hidden="false" customHeight="false" outlineLevel="0" collapsed="false">
      <c r="C906" s="2"/>
      <c r="E906" s="2"/>
      <c r="F906" s="2"/>
    </row>
    <row r="907" s="1" customFormat="true" ht="11.25" hidden="false" customHeight="false" outlineLevel="0" collapsed="false">
      <c r="C907" s="2"/>
      <c r="E907" s="2"/>
      <c r="F907" s="2"/>
    </row>
    <row r="908" s="1" customFormat="true" ht="11.25" hidden="false" customHeight="false" outlineLevel="0" collapsed="false">
      <c r="C908" s="2"/>
      <c r="E908" s="2"/>
      <c r="F908" s="2"/>
    </row>
    <row r="909" s="1" customFormat="true" ht="11.25" hidden="false" customHeight="false" outlineLevel="0" collapsed="false">
      <c r="C909" s="2"/>
      <c r="E909" s="2"/>
      <c r="F909" s="2"/>
    </row>
    <row r="910" s="1" customFormat="true" ht="11.25" hidden="false" customHeight="false" outlineLevel="0" collapsed="false">
      <c r="C910" s="2"/>
      <c r="E910" s="2"/>
      <c r="F910" s="2"/>
    </row>
    <row r="911" s="1" customFormat="true" ht="11.25" hidden="false" customHeight="false" outlineLevel="0" collapsed="false">
      <c r="C911" s="2"/>
      <c r="E911" s="2"/>
      <c r="F911" s="2"/>
    </row>
    <row r="912" s="1" customFormat="true" ht="11.25" hidden="false" customHeight="false" outlineLevel="0" collapsed="false">
      <c r="C912" s="2"/>
      <c r="E912" s="2"/>
      <c r="F912" s="2"/>
    </row>
    <row r="913" s="1" customFormat="true" ht="11.25" hidden="false" customHeight="false" outlineLevel="0" collapsed="false">
      <c r="C913" s="2"/>
      <c r="E913" s="2"/>
      <c r="F913" s="2"/>
    </row>
    <row r="914" s="1" customFormat="true" ht="11.25" hidden="false" customHeight="false" outlineLevel="0" collapsed="false">
      <c r="C914" s="2"/>
      <c r="E914" s="2"/>
      <c r="F914" s="2"/>
    </row>
    <row r="915" s="1" customFormat="true" ht="11.25" hidden="false" customHeight="false" outlineLevel="0" collapsed="false">
      <c r="C915" s="2"/>
      <c r="E915" s="2"/>
      <c r="F915" s="2"/>
    </row>
    <row r="916" s="1" customFormat="true" ht="11.25" hidden="false" customHeight="false" outlineLevel="0" collapsed="false">
      <c r="C916" s="2"/>
      <c r="E916" s="2"/>
      <c r="F916" s="2"/>
    </row>
    <row r="917" s="1" customFormat="true" ht="11.25" hidden="false" customHeight="false" outlineLevel="0" collapsed="false">
      <c r="C917" s="2"/>
      <c r="E917" s="2"/>
      <c r="F917" s="2"/>
    </row>
    <row r="918" s="1" customFormat="true" ht="11.25" hidden="false" customHeight="false" outlineLevel="0" collapsed="false">
      <c r="C918" s="2"/>
      <c r="E918" s="2"/>
      <c r="F918" s="2"/>
    </row>
    <row r="919" s="1" customFormat="true" ht="11.25" hidden="false" customHeight="false" outlineLevel="0" collapsed="false">
      <c r="C919" s="2"/>
      <c r="E919" s="2"/>
      <c r="F919" s="2"/>
    </row>
    <row r="920" s="1" customFormat="true" ht="11.25" hidden="false" customHeight="false" outlineLevel="0" collapsed="false">
      <c r="C920" s="2"/>
      <c r="E920" s="2"/>
      <c r="F920" s="2"/>
    </row>
    <row r="921" s="1" customFormat="true" ht="11.25" hidden="false" customHeight="false" outlineLevel="0" collapsed="false">
      <c r="C921" s="2"/>
      <c r="E921" s="2"/>
      <c r="F921" s="2"/>
    </row>
    <row r="922" s="1" customFormat="true" ht="11.25" hidden="false" customHeight="false" outlineLevel="0" collapsed="false">
      <c r="C922" s="2"/>
      <c r="E922" s="2"/>
      <c r="F922" s="2"/>
    </row>
    <row r="923" s="1" customFormat="true" ht="11.25" hidden="false" customHeight="false" outlineLevel="0" collapsed="false">
      <c r="C923" s="2"/>
      <c r="E923" s="2"/>
      <c r="F923" s="2"/>
    </row>
    <row r="924" s="1" customFormat="true" ht="11.25" hidden="false" customHeight="false" outlineLevel="0" collapsed="false">
      <c r="C924" s="2"/>
      <c r="E924" s="2"/>
      <c r="F924" s="2"/>
    </row>
    <row r="925" s="1" customFormat="true" ht="11.25" hidden="false" customHeight="false" outlineLevel="0" collapsed="false">
      <c r="C925" s="2"/>
      <c r="E925" s="2"/>
      <c r="F925" s="2"/>
    </row>
    <row r="926" s="1" customFormat="true" ht="11.25" hidden="false" customHeight="false" outlineLevel="0" collapsed="false">
      <c r="C926" s="2"/>
      <c r="E926" s="2"/>
      <c r="F926" s="2"/>
    </row>
    <row r="927" s="1" customFormat="true" ht="11.25" hidden="false" customHeight="false" outlineLevel="0" collapsed="false">
      <c r="C927" s="2"/>
      <c r="E927" s="2"/>
      <c r="F927" s="2"/>
    </row>
    <row r="928" s="1" customFormat="true" ht="11.25" hidden="false" customHeight="false" outlineLevel="0" collapsed="false">
      <c r="C928" s="2"/>
      <c r="E928" s="2"/>
      <c r="F928" s="2"/>
    </row>
    <row r="929" s="1" customFormat="true" ht="11.25" hidden="false" customHeight="false" outlineLevel="0" collapsed="false">
      <c r="C929" s="2"/>
      <c r="E929" s="2"/>
      <c r="F929" s="2"/>
    </row>
    <row r="930" s="1" customFormat="true" ht="11.25" hidden="false" customHeight="false" outlineLevel="0" collapsed="false">
      <c r="C930" s="2"/>
      <c r="E930" s="2"/>
      <c r="F930" s="2"/>
    </row>
    <row r="931" s="1" customFormat="true" ht="11.25" hidden="false" customHeight="false" outlineLevel="0" collapsed="false">
      <c r="C931" s="2"/>
      <c r="E931" s="2"/>
      <c r="F931" s="2"/>
    </row>
    <row r="932" s="1" customFormat="true" ht="11.25" hidden="false" customHeight="false" outlineLevel="0" collapsed="false">
      <c r="C932" s="2"/>
      <c r="E932" s="2"/>
      <c r="F932" s="2"/>
    </row>
    <row r="933" s="1" customFormat="true" ht="11.25" hidden="false" customHeight="false" outlineLevel="0" collapsed="false">
      <c r="C933" s="2"/>
      <c r="E933" s="2"/>
      <c r="F933" s="2"/>
    </row>
    <row r="934" s="1" customFormat="true" ht="11.25" hidden="false" customHeight="false" outlineLevel="0" collapsed="false">
      <c r="C934" s="2"/>
      <c r="E934" s="2"/>
      <c r="F934" s="2"/>
    </row>
    <row r="935" s="1" customFormat="true" ht="11.25" hidden="false" customHeight="false" outlineLevel="0" collapsed="false">
      <c r="C935" s="2"/>
      <c r="E935" s="2"/>
      <c r="F935" s="2"/>
    </row>
    <row r="936" s="1" customFormat="true" ht="11.25" hidden="false" customHeight="false" outlineLevel="0" collapsed="false">
      <c r="C936" s="2"/>
      <c r="E936" s="2"/>
      <c r="F936" s="2"/>
    </row>
    <row r="937" s="1" customFormat="true" ht="11.25" hidden="false" customHeight="false" outlineLevel="0" collapsed="false">
      <c r="C937" s="2"/>
      <c r="E937" s="2"/>
      <c r="F937" s="2"/>
    </row>
    <row r="938" s="1" customFormat="true" ht="11.25" hidden="false" customHeight="false" outlineLevel="0" collapsed="false">
      <c r="C938" s="2"/>
      <c r="E938" s="2"/>
      <c r="F938" s="2"/>
    </row>
    <row r="939" s="1" customFormat="true" ht="11.25" hidden="false" customHeight="false" outlineLevel="0" collapsed="false">
      <c r="C939" s="2"/>
      <c r="E939" s="2"/>
      <c r="F939" s="2"/>
    </row>
    <row r="940" s="1" customFormat="true" ht="11.25" hidden="false" customHeight="false" outlineLevel="0" collapsed="false">
      <c r="C940" s="2"/>
      <c r="E940" s="2"/>
      <c r="F940" s="2"/>
    </row>
    <row r="941" s="1" customFormat="true" ht="11.25" hidden="false" customHeight="false" outlineLevel="0" collapsed="false">
      <c r="C941" s="2"/>
      <c r="E941" s="2"/>
      <c r="F941" s="2"/>
    </row>
    <row r="942" s="1" customFormat="true" ht="11.25" hidden="false" customHeight="false" outlineLevel="0" collapsed="false">
      <c r="C942" s="2"/>
      <c r="E942" s="2"/>
      <c r="F942" s="2"/>
    </row>
    <row r="943" s="1" customFormat="true" ht="11.25" hidden="false" customHeight="false" outlineLevel="0" collapsed="false">
      <c r="C943" s="2"/>
      <c r="E943" s="2"/>
      <c r="F943" s="2"/>
    </row>
    <row r="944" s="1" customFormat="true" ht="11.25" hidden="false" customHeight="false" outlineLevel="0" collapsed="false">
      <c r="C944" s="2"/>
      <c r="E944" s="2"/>
      <c r="F944" s="2"/>
    </row>
    <row r="945" s="1" customFormat="true" ht="11.25" hidden="false" customHeight="false" outlineLevel="0" collapsed="false">
      <c r="C945" s="2"/>
      <c r="E945" s="2"/>
      <c r="F945" s="2"/>
    </row>
    <row r="946" s="1" customFormat="true" ht="11.25" hidden="false" customHeight="false" outlineLevel="0" collapsed="false">
      <c r="C946" s="2"/>
      <c r="E946" s="2"/>
      <c r="F946" s="2"/>
    </row>
    <row r="947" s="1" customFormat="true" ht="11.25" hidden="false" customHeight="false" outlineLevel="0" collapsed="false">
      <c r="C947" s="2"/>
      <c r="E947" s="2"/>
      <c r="F947" s="2"/>
    </row>
    <row r="948" s="1" customFormat="true" ht="11.25" hidden="false" customHeight="false" outlineLevel="0" collapsed="false">
      <c r="C948" s="2"/>
      <c r="E948" s="2"/>
      <c r="F948" s="2"/>
    </row>
    <row r="949" s="1" customFormat="true" ht="11.25" hidden="false" customHeight="false" outlineLevel="0" collapsed="false">
      <c r="C949" s="2"/>
      <c r="E949" s="2"/>
      <c r="F949" s="2"/>
    </row>
    <row r="950" s="1" customFormat="true" ht="11.25" hidden="false" customHeight="false" outlineLevel="0" collapsed="false">
      <c r="C950" s="2"/>
      <c r="E950" s="2"/>
      <c r="F950" s="2"/>
    </row>
    <row r="951" s="1" customFormat="true" ht="11.25" hidden="false" customHeight="false" outlineLevel="0" collapsed="false">
      <c r="C951" s="2"/>
      <c r="E951" s="2"/>
      <c r="F951" s="2"/>
    </row>
    <row r="952" s="1" customFormat="true" ht="11.25" hidden="false" customHeight="false" outlineLevel="0" collapsed="false">
      <c r="C952" s="2"/>
      <c r="E952" s="2"/>
      <c r="F952" s="2"/>
    </row>
    <row r="953" s="1" customFormat="true" ht="11.25" hidden="false" customHeight="false" outlineLevel="0" collapsed="false">
      <c r="C953" s="2"/>
      <c r="E953" s="2"/>
      <c r="F953" s="2"/>
    </row>
    <row r="954" s="1" customFormat="true" ht="11.25" hidden="false" customHeight="false" outlineLevel="0" collapsed="false">
      <c r="C954" s="2"/>
      <c r="E954" s="2"/>
      <c r="F954" s="2"/>
    </row>
    <row r="955" s="1" customFormat="true" ht="11.25" hidden="false" customHeight="false" outlineLevel="0" collapsed="false">
      <c r="C955" s="2"/>
      <c r="E955" s="2"/>
      <c r="F955" s="2"/>
    </row>
    <row r="956" s="1" customFormat="true" ht="11.25" hidden="false" customHeight="false" outlineLevel="0" collapsed="false">
      <c r="C956" s="2"/>
      <c r="E956" s="2"/>
      <c r="F956" s="2"/>
    </row>
    <row r="957" s="1" customFormat="true" ht="11.25" hidden="false" customHeight="false" outlineLevel="0" collapsed="false">
      <c r="C957" s="2"/>
      <c r="E957" s="2"/>
      <c r="F957" s="2"/>
    </row>
    <row r="958" s="1" customFormat="true" ht="11.25" hidden="false" customHeight="false" outlineLevel="0" collapsed="false">
      <c r="C958" s="2"/>
      <c r="E958" s="2"/>
      <c r="F958" s="2"/>
    </row>
    <row r="959" s="1" customFormat="true" ht="11.25" hidden="false" customHeight="false" outlineLevel="0" collapsed="false">
      <c r="C959" s="2"/>
      <c r="E959" s="2"/>
      <c r="F959" s="2"/>
    </row>
    <row r="960" s="1" customFormat="true" ht="11.25" hidden="false" customHeight="false" outlineLevel="0" collapsed="false">
      <c r="C960" s="2"/>
      <c r="E960" s="2"/>
      <c r="F960" s="2"/>
    </row>
    <row r="961" s="1" customFormat="true" ht="11.25" hidden="false" customHeight="false" outlineLevel="0" collapsed="false">
      <c r="C961" s="2"/>
      <c r="E961" s="2"/>
      <c r="F961" s="2"/>
    </row>
    <row r="962" s="1" customFormat="true" ht="11.25" hidden="false" customHeight="false" outlineLevel="0" collapsed="false">
      <c r="C962" s="2"/>
      <c r="E962" s="2"/>
      <c r="F962" s="2"/>
    </row>
    <row r="963" s="1" customFormat="true" ht="11.25" hidden="false" customHeight="false" outlineLevel="0" collapsed="false">
      <c r="C963" s="2"/>
      <c r="E963" s="2"/>
      <c r="F963" s="2"/>
    </row>
    <row r="964" s="1" customFormat="true" ht="11.25" hidden="false" customHeight="false" outlineLevel="0" collapsed="false">
      <c r="C964" s="2"/>
      <c r="E964" s="2"/>
      <c r="F964" s="2"/>
    </row>
    <row r="965" s="1" customFormat="true" ht="11.25" hidden="false" customHeight="false" outlineLevel="0" collapsed="false">
      <c r="C965" s="2"/>
      <c r="E965" s="2"/>
      <c r="F965" s="2"/>
    </row>
    <row r="966" s="1" customFormat="true" ht="11.25" hidden="false" customHeight="false" outlineLevel="0" collapsed="false">
      <c r="C966" s="2"/>
      <c r="E966" s="2"/>
      <c r="F966" s="2"/>
    </row>
    <row r="967" s="1" customFormat="true" ht="11.25" hidden="false" customHeight="false" outlineLevel="0" collapsed="false">
      <c r="C967" s="2"/>
      <c r="E967" s="2"/>
      <c r="F967" s="2"/>
    </row>
    <row r="968" s="1" customFormat="true" ht="11.25" hidden="false" customHeight="false" outlineLevel="0" collapsed="false">
      <c r="C968" s="2"/>
      <c r="E968" s="2"/>
      <c r="F968" s="2"/>
    </row>
    <row r="969" s="1" customFormat="true" ht="11.25" hidden="false" customHeight="false" outlineLevel="0" collapsed="false">
      <c r="C969" s="2"/>
      <c r="E969" s="2"/>
      <c r="F969" s="2"/>
    </row>
    <row r="970" s="1" customFormat="true" ht="11.25" hidden="false" customHeight="false" outlineLevel="0" collapsed="false">
      <c r="C970" s="2"/>
      <c r="E970" s="2"/>
      <c r="F970" s="2"/>
    </row>
    <row r="971" s="1" customFormat="true" ht="11.25" hidden="false" customHeight="false" outlineLevel="0" collapsed="false">
      <c r="C971" s="2"/>
      <c r="E971" s="2"/>
      <c r="F971" s="2"/>
    </row>
    <row r="972" s="1" customFormat="true" ht="11.25" hidden="false" customHeight="false" outlineLevel="0" collapsed="false">
      <c r="C972" s="2"/>
      <c r="E972" s="2"/>
      <c r="F972" s="2"/>
    </row>
    <row r="973" s="1" customFormat="true" ht="11.25" hidden="false" customHeight="false" outlineLevel="0" collapsed="false">
      <c r="C973" s="2"/>
      <c r="E973" s="2"/>
      <c r="F973" s="2"/>
    </row>
    <row r="974" s="1" customFormat="true" ht="11.25" hidden="false" customHeight="false" outlineLevel="0" collapsed="false">
      <c r="C974" s="2"/>
      <c r="E974" s="2"/>
      <c r="F974" s="2"/>
    </row>
    <row r="975" s="1" customFormat="true" ht="11.25" hidden="false" customHeight="false" outlineLevel="0" collapsed="false">
      <c r="C975" s="2"/>
      <c r="E975" s="2"/>
      <c r="F975" s="2"/>
    </row>
    <row r="976" s="1" customFormat="true" ht="11.25" hidden="false" customHeight="false" outlineLevel="0" collapsed="false">
      <c r="C976" s="2"/>
      <c r="E976" s="2"/>
      <c r="F976" s="2"/>
    </row>
    <row r="977" s="1" customFormat="true" ht="11.25" hidden="false" customHeight="false" outlineLevel="0" collapsed="false">
      <c r="C977" s="2"/>
      <c r="E977" s="2"/>
      <c r="F977" s="2"/>
    </row>
    <row r="978" s="1" customFormat="true" ht="11.25" hidden="false" customHeight="false" outlineLevel="0" collapsed="false">
      <c r="C978" s="2"/>
      <c r="E978" s="2"/>
      <c r="F978" s="2"/>
    </row>
    <row r="979" s="1" customFormat="true" ht="11.25" hidden="false" customHeight="false" outlineLevel="0" collapsed="false">
      <c r="C979" s="2"/>
      <c r="E979" s="2"/>
      <c r="F979" s="2"/>
    </row>
    <row r="980" s="1" customFormat="true" ht="11.25" hidden="false" customHeight="false" outlineLevel="0" collapsed="false">
      <c r="C980" s="2"/>
      <c r="E980" s="2"/>
      <c r="F980" s="2"/>
    </row>
    <row r="981" s="1" customFormat="true" ht="11.25" hidden="false" customHeight="false" outlineLevel="0" collapsed="false">
      <c r="C981" s="2"/>
      <c r="E981" s="2"/>
      <c r="F981" s="2"/>
    </row>
    <row r="982" s="1" customFormat="true" ht="11.25" hidden="false" customHeight="false" outlineLevel="0" collapsed="false">
      <c r="C982" s="2"/>
      <c r="E982" s="2"/>
      <c r="F982" s="2"/>
    </row>
    <row r="983" s="1" customFormat="true" ht="11.25" hidden="false" customHeight="false" outlineLevel="0" collapsed="false">
      <c r="C983" s="2"/>
      <c r="E983" s="2"/>
      <c r="F983" s="2"/>
    </row>
    <row r="984" s="1" customFormat="true" ht="11.25" hidden="false" customHeight="false" outlineLevel="0" collapsed="false">
      <c r="C984" s="2"/>
      <c r="E984" s="2"/>
      <c r="F984" s="2"/>
    </row>
    <row r="985" s="1" customFormat="true" ht="11.25" hidden="false" customHeight="false" outlineLevel="0" collapsed="false">
      <c r="C985" s="2"/>
      <c r="E985" s="2"/>
      <c r="F985" s="2"/>
    </row>
    <row r="986" s="1" customFormat="true" ht="11.25" hidden="false" customHeight="false" outlineLevel="0" collapsed="false">
      <c r="C986" s="2"/>
      <c r="E986" s="2"/>
      <c r="F986" s="2"/>
    </row>
    <row r="987" s="1" customFormat="true" ht="11.25" hidden="false" customHeight="false" outlineLevel="0" collapsed="false">
      <c r="C987" s="2"/>
      <c r="E987" s="2"/>
      <c r="F987" s="2"/>
    </row>
    <row r="988" s="1" customFormat="true" ht="11.25" hidden="false" customHeight="false" outlineLevel="0" collapsed="false">
      <c r="C988" s="2"/>
      <c r="E988" s="2"/>
      <c r="F988" s="2"/>
    </row>
    <row r="989" s="1" customFormat="true" ht="11.25" hidden="false" customHeight="false" outlineLevel="0" collapsed="false">
      <c r="C989" s="2"/>
      <c r="E989" s="2"/>
      <c r="F989" s="2"/>
    </row>
    <row r="990" s="1" customFormat="true" ht="11.25" hidden="false" customHeight="false" outlineLevel="0" collapsed="false">
      <c r="C990" s="2"/>
      <c r="E990" s="2"/>
      <c r="F990" s="2"/>
    </row>
    <row r="991" s="1" customFormat="true" ht="11.25" hidden="false" customHeight="false" outlineLevel="0" collapsed="false">
      <c r="C991" s="2"/>
      <c r="E991" s="2"/>
      <c r="F991" s="2"/>
    </row>
    <row r="992" s="1" customFormat="true" ht="11.25" hidden="false" customHeight="false" outlineLevel="0" collapsed="false">
      <c r="C992" s="2"/>
      <c r="E992" s="2"/>
      <c r="F992" s="2"/>
    </row>
    <row r="993" s="1" customFormat="true" ht="11.25" hidden="false" customHeight="false" outlineLevel="0" collapsed="false">
      <c r="C993" s="2"/>
      <c r="E993" s="2"/>
      <c r="F993" s="2"/>
    </row>
    <row r="994" s="1" customFormat="true" ht="11.25" hidden="false" customHeight="false" outlineLevel="0" collapsed="false">
      <c r="C994" s="2"/>
      <c r="E994" s="2"/>
      <c r="F994" s="2"/>
    </row>
    <row r="995" s="1" customFormat="true" ht="11.25" hidden="false" customHeight="false" outlineLevel="0" collapsed="false">
      <c r="C995" s="2"/>
      <c r="E995" s="2"/>
      <c r="F995" s="2"/>
    </row>
    <row r="996" s="1" customFormat="true" ht="11.25" hidden="false" customHeight="false" outlineLevel="0" collapsed="false">
      <c r="C996" s="2"/>
      <c r="E996" s="2"/>
      <c r="F996" s="2"/>
    </row>
    <row r="997" s="1" customFormat="true" ht="11.25" hidden="false" customHeight="false" outlineLevel="0" collapsed="false">
      <c r="C997" s="2"/>
      <c r="E997" s="2"/>
      <c r="F997" s="2"/>
    </row>
    <row r="998" s="1" customFormat="true" ht="11.25" hidden="false" customHeight="false" outlineLevel="0" collapsed="false">
      <c r="C998" s="2"/>
      <c r="E998" s="2"/>
      <c r="F998" s="2"/>
    </row>
    <row r="999" s="1" customFormat="true" ht="11.25" hidden="false" customHeight="false" outlineLevel="0" collapsed="false">
      <c r="C999" s="2"/>
      <c r="E999" s="2"/>
      <c r="F999" s="2"/>
    </row>
    <row r="1000" s="1" customFormat="true" ht="11.25" hidden="false" customHeight="false" outlineLevel="0" collapsed="false">
      <c r="C1000" s="2"/>
      <c r="E1000" s="2"/>
      <c r="F1000" s="2"/>
    </row>
    <row r="1001" s="1" customFormat="true" ht="11.25" hidden="false" customHeight="false" outlineLevel="0" collapsed="false">
      <c r="C1001" s="2"/>
      <c r="E1001" s="2"/>
      <c r="F1001" s="2"/>
    </row>
    <row r="1002" s="1" customFormat="true" ht="11.25" hidden="false" customHeight="false" outlineLevel="0" collapsed="false">
      <c r="C1002" s="2"/>
      <c r="E1002" s="2"/>
      <c r="F1002" s="2"/>
    </row>
    <row r="1003" s="1" customFormat="true" ht="11.25" hidden="false" customHeight="false" outlineLevel="0" collapsed="false">
      <c r="C1003" s="2"/>
      <c r="E1003" s="2"/>
      <c r="F1003" s="2"/>
    </row>
    <row r="1004" s="1" customFormat="true" ht="11.25" hidden="false" customHeight="false" outlineLevel="0" collapsed="false">
      <c r="C1004" s="2"/>
      <c r="E1004" s="2"/>
      <c r="F1004" s="2"/>
    </row>
    <row r="1005" s="1" customFormat="true" ht="11.25" hidden="false" customHeight="false" outlineLevel="0" collapsed="false">
      <c r="C1005" s="2"/>
      <c r="E1005" s="2"/>
      <c r="F1005" s="2"/>
    </row>
    <row r="1006" s="1" customFormat="true" ht="11.25" hidden="false" customHeight="false" outlineLevel="0" collapsed="false">
      <c r="C1006" s="2"/>
      <c r="E1006" s="2"/>
      <c r="F1006" s="2"/>
    </row>
    <row r="1007" s="1" customFormat="true" ht="11.25" hidden="false" customHeight="false" outlineLevel="0" collapsed="false">
      <c r="C1007" s="2"/>
      <c r="E1007" s="2"/>
      <c r="F1007" s="2"/>
    </row>
    <row r="1008" s="1" customFormat="true" ht="11.25" hidden="false" customHeight="false" outlineLevel="0" collapsed="false">
      <c r="C1008" s="2"/>
      <c r="E1008" s="2"/>
      <c r="F1008" s="2"/>
    </row>
    <row r="1009" s="1" customFormat="true" ht="11.25" hidden="false" customHeight="false" outlineLevel="0" collapsed="false">
      <c r="C1009" s="2"/>
      <c r="E1009" s="2"/>
      <c r="F1009" s="2"/>
    </row>
    <row r="1010" s="1" customFormat="true" ht="11.25" hidden="false" customHeight="false" outlineLevel="0" collapsed="false">
      <c r="C1010" s="2"/>
      <c r="E1010" s="2"/>
      <c r="F1010" s="2"/>
    </row>
    <row r="1011" s="1" customFormat="true" ht="11.25" hidden="false" customHeight="false" outlineLevel="0" collapsed="false">
      <c r="C1011" s="2"/>
      <c r="E1011" s="2"/>
      <c r="F1011" s="2"/>
    </row>
    <row r="1012" s="1" customFormat="true" ht="11.25" hidden="false" customHeight="false" outlineLevel="0" collapsed="false">
      <c r="C1012" s="2"/>
      <c r="E1012" s="2"/>
      <c r="F1012" s="2"/>
    </row>
    <row r="1013" s="1" customFormat="true" ht="11.25" hidden="false" customHeight="false" outlineLevel="0" collapsed="false">
      <c r="C1013" s="2"/>
      <c r="E1013" s="2"/>
      <c r="F1013" s="2"/>
    </row>
    <row r="1014" s="1" customFormat="true" ht="11.25" hidden="false" customHeight="false" outlineLevel="0" collapsed="false">
      <c r="C1014" s="2"/>
      <c r="E1014" s="2"/>
      <c r="F1014" s="2"/>
    </row>
    <row r="1015" s="1" customFormat="true" ht="11.25" hidden="false" customHeight="false" outlineLevel="0" collapsed="false">
      <c r="C1015" s="2"/>
      <c r="E1015" s="2"/>
      <c r="F1015" s="2"/>
    </row>
    <row r="1016" s="1" customFormat="true" ht="11.25" hidden="false" customHeight="false" outlineLevel="0" collapsed="false">
      <c r="C1016" s="2"/>
      <c r="E1016" s="2"/>
      <c r="F1016" s="2"/>
    </row>
    <row r="1017" s="1" customFormat="true" ht="11.25" hidden="false" customHeight="false" outlineLevel="0" collapsed="false">
      <c r="C1017" s="2"/>
      <c r="E1017" s="2"/>
      <c r="F1017" s="2"/>
    </row>
    <row r="1018" s="1" customFormat="true" ht="11.25" hidden="false" customHeight="false" outlineLevel="0" collapsed="false">
      <c r="C1018" s="2"/>
      <c r="E1018" s="2"/>
      <c r="F1018" s="2"/>
    </row>
    <row r="1019" s="1" customFormat="true" ht="11.25" hidden="false" customHeight="false" outlineLevel="0" collapsed="false">
      <c r="C1019" s="2"/>
      <c r="E1019" s="2"/>
      <c r="F1019" s="2"/>
    </row>
    <row r="1020" s="1" customFormat="true" ht="11.25" hidden="false" customHeight="false" outlineLevel="0" collapsed="false">
      <c r="C1020" s="2"/>
      <c r="E1020" s="2"/>
      <c r="F1020" s="2"/>
    </row>
    <row r="1021" s="1" customFormat="true" ht="11.25" hidden="false" customHeight="false" outlineLevel="0" collapsed="false">
      <c r="C1021" s="2"/>
      <c r="E1021" s="2"/>
      <c r="F1021" s="2"/>
    </row>
    <row r="1022" s="1" customFormat="true" ht="11.25" hidden="false" customHeight="false" outlineLevel="0" collapsed="false">
      <c r="C1022" s="2"/>
      <c r="E1022" s="2"/>
      <c r="F1022" s="2"/>
    </row>
    <row r="1023" s="1" customFormat="true" ht="11.25" hidden="false" customHeight="false" outlineLevel="0" collapsed="false">
      <c r="C1023" s="2"/>
      <c r="E1023" s="2"/>
      <c r="F1023" s="2"/>
    </row>
    <row r="1024" s="1" customFormat="true" ht="11.25" hidden="false" customHeight="false" outlineLevel="0" collapsed="false">
      <c r="C1024" s="2"/>
      <c r="E1024" s="2"/>
      <c r="F1024" s="2"/>
    </row>
    <row r="1025" s="1" customFormat="true" ht="11.25" hidden="false" customHeight="false" outlineLevel="0" collapsed="false">
      <c r="C1025" s="2"/>
      <c r="E1025" s="2"/>
      <c r="F1025" s="2"/>
    </row>
    <row r="1026" s="1" customFormat="true" ht="11.25" hidden="false" customHeight="false" outlineLevel="0" collapsed="false">
      <c r="C1026" s="2"/>
      <c r="E1026" s="2"/>
      <c r="F1026" s="2"/>
    </row>
    <row r="1027" s="1" customFormat="true" ht="11.25" hidden="false" customHeight="false" outlineLevel="0" collapsed="false">
      <c r="C1027" s="2"/>
      <c r="E1027" s="2"/>
      <c r="F1027" s="2"/>
    </row>
    <row r="1028" s="1" customFormat="true" ht="11.25" hidden="false" customHeight="false" outlineLevel="0" collapsed="false">
      <c r="C1028" s="2"/>
      <c r="E1028" s="2"/>
      <c r="F1028" s="2"/>
    </row>
    <row r="1029" s="1" customFormat="true" ht="11.25" hidden="false" customHeight="false" outlineLevel="0" collapsed="false">
      <c r="C1029" s="2"/>
      <c r="E1029" s="2"/>
      <c r="F1029" s="2"/>
    </row>
    <row r="1030" s="1" customFormat="true" ht="11.25" hidden="false" customHeight="false" outlineLevel="0" collapsed="false">
      <c r="C1030" s="2"/>
      <c r="E1030" s="2"/>
      <c r="F1030" s="2"/>
    </row>
    <row r="1031" s="1" customFormat="true" ht="11.25" hidden="false" customHeight="false" outlineLevel="0" collapsed="false">
      <c r="C1031" s="2"/>
      <c r="E1031" s="2"/>
      <c r="F1031" s="2"/>
    </row>
    <row r="1032" s="1" customFormat="true" ht="11.25" hidden="false" customHeight="false" outlineLevel="0" collapsed="false">
      <c r="C1032" s="2"/>
      <c r="E1032" s="2"/>
      <c r="F1032" s="2"/>
    </row>
    <row r="1033" s="1" customFormat="true" ht="11.25" hidden="false" customHeight="false" outlineLevel="0" collapsed="false">
      <c r="C1033" s="2"/>
      <c r="E1033" s="2"/>
      <c r="F1033" s="2"/>
    </row>
    <row r="1034" s="1" customFormat="true" ht="11.25" hidden="false" customHeight="false" outlineLevel="0" collapsed="false">
      <c r="C1034" s="2"/>
      <c r="E1034" s="2"/>
      <c r="F1034" s="2"/>
    </row>
    <row r="1035" s="1" customFormat="true" ht="11.25" hidden="false" customHeight="false" outlineLevel="0" collapsed="false">
      <c r="C1035" s="2"/>
      <c r="E1035" s="2"/>
      <c r="F1035" s="2"/>
    </row>
    <row r="1036" s="1" customFormat="true" ht="11.25" hidden="false" customHeight="false" outlineLevel="0" collapsed="false">
      <c r="C1036" s="2"/>
      <c r="E1036" s="2"/>
      <c r="F1036" s="2"/>
    </row>
    <row r="1037" s="1" customFormat="true" ht="11.25" hidden="false" customHeight="false" outlineLevel="0" collapsed="false">
      <c r="C1037" s="2"/>
      <c r="E1037" s="2"/>
      <c r="F1037" s="2"/>
    </row>
    <row r="1038" s="1" customFormat="true" ht="11.25" hidden="false" customHeight="false" outlineLevel="0" collapsed="false">
      <c r="C1038" s="2"/>
      <c r="E1038" s="2"/>
      <c r="F1038" s="2"/>
    </row>
    <row r="1039" s="1" customFormat="true" ht="11.25" hidden="false" customHeight="false" outlineLevel="0" collapsed="false">
      <c r="C1039" s="2"/>
      <c r="E1039" s="2"/>
      <c r="F1039" s="2"/>
    </row>
    <row r="1040" s="1" customFormat="true" ht="11.25" hidden="false" customHeight="false" outlineLevel="0" collapsed="false">
      <c r="C1040" s="2"/>
      <c r="E1040" s="2"/>
      <c r="F1040" s="2"/>
    </row>
    <row r="1041" s="1" customFormat="true" ht="11.25" hidden="false" customHeight="false" outlineLevel="0" collapsed="false">
      <c r="C1041" s="2"/>
      <c r="E1041" s="2"/>
      <c r="F1041" s="2"/>
    </row>
    <row r="1042" s="1" customFormat="true" ht="11.25" hidden="false" customHeight="false" outlineLevel="0" collapsed="false">
      <c r="C1042" s="2"/>
      <c r="E1042" s="2"/>
      <c r="F1042" s="2"/>
    </row>
    <row r="1043" s="1" customFormat="true" ht="11.25" hidden="false" customHeight="false" outlineLevel="0" collapsed="false">
      <c r="C1043" s="2"/>
      <c r="E1043" s="2"/>
      <c r="F1043" s="2"/>
    </row>
    <row r="1044" s="1" customFormat="true" ht="11.25" hidden="false" customHeight="false" outlineLevel="0" collapsed="false">
      <c r="C1044" s="2"/>
      <c r="E1044" s="2"/>
      <c r="F1044" s="2"/>
    </row>
    <row r="1045" s="1" customFormat="true" ht="11.25" hidden="false" customHeight="false" outlineLevel="0" collapsed="false">
      <c r="C1045" s="2"/>
      <c r="E1045" s="2"/>
      <c r="F1045" s="2"/>
    </row>
    <row r="1046" s="1" customFormat="true" ht="11.25" hidden="false" customHeight="false" outlineLevel="0" collapsed="false">
      <c r="C1046" s="2"/>
      <c r="E1046" s="2"/>
      <c r="F1046" s="2"/>
    </row>
    <row r="1047" s="1" customFormat="true" ht="11.25" hidden="false" customHeight="false" outlineLevel="0" collapsed="false">
      <c r="C1047" s="2"/>
      <c r="E1047" s="2"/>
      <c r="F1047" s="2"/>
    </row>
    <row r="1048" s="1" customFormat="true" ht="11.25" hidden="false" customHeight="false" outlineLevel="0" collapsed="false">
      <c r="C1048" s="2"/>
      <c r="E1048" s="2"/>
      <c r="F1048" s="2"/>
    </row>
    <row r="1049" s="1" customFormat="true" ht="11.25" hidden="false" customHeight="false" outlineLevel="0" collapsed="false">
      <c r="C1049" s="2"/>
      <c r="E1049" s="2"/>
      <c r="F1049" s="2"/>
    </row>
    <row r="1050" s="1" customFormat="true" ht="11.25" hidden="false" customHeight="false" outlineLevel="0" collapsed="false">
      <c r="C1050" s="2"/>
      <c r="E1050" s="2"/>
      <c r="F1050" s="2"/>
    </row>
    <row r="1051" s="1" customFormat="true" ht="11.25" hidden="false" customHeight="false" outlineLevel="0" collapsed="false">
      <c r="C1051" s="2"/>
      <c r="E1051" s="2"/>
      <c r="F1051" s="2"/>
    </row>
    <row r="1052" s="1" customFormat="true" ht="11.25" hidden="false" customHeight="false" outlineLevel="0" collapsed="false">
      <c r="C1052" s="2"/>
      <c r="E1052" s="2"/>
      <c r="F1052" s="2"/>
    </row>
    <row r="1053" s="1" customFormat="true" ht="11.25" hidden="false" customHeight="false" outlineLevel="0" collapsed="false">
      <c r="C1053" s="2"/>
      <c r="E1053" s="2"/>
      <c r="F1053" s="2"/>
    </row>
    <row r="1054" s="1" customFormat="true" ht="11.25" hidden="false" customHeight="false" outlineLevel="0" collapsed="false">
      <c r="C1054" s="2"/>
      <c r="E1054" s="2"/>
      <c r="F1054" s="2"/>
    </row>
    <row r="1055" s="1" customFormat="true" ht="11.25" hidden="false" customHeight="false" outlineLevel="0" collapsed="false">
      <c r="C1055" s="2"/>
      <c r="E1055" s="2"/>
      <c r="F1055" s="2"/>
    </row>
    <row r="1056" s="1" customFormat="true" ht="11.25" hidden="false" customHeight="false" outlineLevel="0" collapsed="false">
      <c r="C1056" s="2"/>
      <c r="E1056" s="2"/>
      <c r="F1056" s="2"/>
    </row>
    <row r="1057" s="1" customFormat="true" ht="11.25" hidden="false" customHeight="false" outlineLevel="0" collapsed="false">
      <c r="C1057" s="2"/>
      <c r="E1057" s="2"/>
      <c r="F1057" s="2"/>
    </row>
    <row r="1058" s="1" customFormat="true" ht="11.25" hidden="false" customHeight="false" outlineLevel="0" collapsed="false">
      <c r="C1058" s="2"/>
      <c r="E1058" s="2"/>
      <c r="F1058" s="2"/>
    </row>
  </sheetData>
  <mergeCells count="2">
    <mergeCell ref="B1:C1"/>
    <mergeCell ref="B54:F54"/>
  </mergeCells>
  <printOptions headings="false" gridLines="false" gridLinesSet="true" horizontalCentered="false" verticalCentered="true"/>
  <pageMargins left="0.708333333333333" right="0.708333333333333" top="0" bottom="0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72C4"/>
    <pageSetUpPr fitToPage="true"/>
  </sheetPr>
  <dimension ref="A1:G57"/>
  <sheetViews>
    <sheetView showFormulas="false" showGridLines="true" showRowColHeaders="true" showZeros="true" rightToLeft="false" tabSelected="false" showOutlineSymbols="true" defaultGridColor="true" view="normal" topLeftCell="A10" colorId="64" zoomScale="100" zoomScaleNormal="100" zoomScalePageLayoutView="100" workbookViewId="0">
      <selection pane="topLeft" activeCell="O23" activeCellId="0" sqref="O23"/>
    </sheetView>
  </sheetViews>
  <sheetFormatPr defaultColWidth="9.79296875" defaultRowHeight="11.25" zeroHeight="false" outlineLevelRow="0" outlineLevelCol="0"/>
  <cols>
    <col collapsed="false" customWidth="true" hidden="false" outlineLevel="0" max="1" min="1" style="1" width="36.91"/>
    <col collapsed="false" customWidth="true" hidden="false" outlineLevel="0" max="2" min="2" style="1" width="26.61"/>
    <col collapsed="false" customWidth="true" hidden="false" outlineLevel="0" max="3" min="3" style="2" width="13.22"/>
    <col collapsed="false" customWidth="true" hidden="false" outlineLevel="0" max="4" min="4" style="1" width="56.48"/>
    <col collapsed="false" customWidth="true" hidden="false" outlineLevel="0" max="5" min="5" style="2" width="14.25"/>
    <col collapsed="false" customWidth="true" hidden="false" outlineLevel="0" max="6" min="6" style="2" width="45.66"/>
    <col collapsed="false" customWidth="false" hidden="false" outlineLevel="0" max="16384" min="7" style="1" width="9.79"/>
  </cols>
  <sheetData>
    <row r="1" customFormat="false" ht="15.75" hidden="false" customHeight="true" outlineLevel="0" collapsed="false">
      <c r="A1" s="3" t="s">
        <v>81</v>
      </c>
      <c r="B1" s="4" t="s">
        <v>1</v>
      </c>
      <c r="C1" s="4"/>
      <c r="D1" s="5" t="s">
        <v>82</v>
      </c>
      <c r="F1" s="95" t="s">
        <v>74</v>
      </c>
    </row>
    <row r="2" customFormat="false" ht="15.75" hidden="false" customHeight="true" outlineLevel="0" collapsed="false">
      <c r="D2" s="1" t="s">
        <v>75</v>
      </c>
      <c r="E2" s="2" t="n">
        <v>23</v>
      </c>
      <c r="F2" s="1"/>
    </row>
    <row r="3" customFormat="false" ht="15.75" hidden="false" customHeight="true" outlineLevel="0" collapsed="false">
      <c r="A3" s="7" t="s">
        <v>76</v>
      </c>
      <c r="B3" s="7"/>
      <c r="C3" s="8"/>
      <c r="D3" s="1" t="s">
        <v>77</v>
      </c>
      <c r="E3" s="2" t="n">
        <v>27</v>
      </c>
      <c r="F3" s="2" t="s">
        <v>4</v>
      </c>
    </row>
    <row r="4" customFormat="false" ht="15.75" hidden="false" customHeight="true" outlineLevel="0" collapsed="false">
      <c r="A4" s="9" t="s">
        <v>5</v>
      </c>
      <c r="B4" s="10" t="s">
        <v>6</v>
      </c>
      <c r="C4" s="10" t="s">
        <v>7</v>
      </c>
      <c r="D4" s="11" t="s">
        <v>8</v>
      </c>
      <c r="E4" s="11" t="s">
        <v>9</v>
      </c>
      <c r="F4" s="12" t="s">
        <v>10</v>
      </c>
    </row>
    <row r="5" customFormat="false" ht="14.9" hidden="false" customHeight="false" outlineLevel="0" collapsed="false">
      <c r="A5" s="13" t="s">
        <v>11</v>
      </c>
      <c r="B5" s="14"/>
      <c r="C5" s="14"/>
      <c r="D5" s="14" t="s">
        <v>12</v>
      </c>
      <c r="E5" s="14"/>
      <c r="F5" s="15"/>
    </row>
    <row r="6" customFormat="false" ht="11.25" hidden="false" customHeight="false" outlineLevel="0" collapsed="false">
      <c r="A6" s="13" t="s">
        <v>13</v>
      </c>
      <c r="B6" s="14"/>
      <c r="C6" s="14"/>
      <c r="D6" s="16" t="s">
        <v>14</v>
      </c>
      <c r="E6" s="14"/>
      <c r="F6" s="15"/>
    </row>
    <row r="7" customFormat="false" ht="14.9" hidden="false" customHeight="false" outlineLevel="0" collapsed="false">
      <c r="A7" s="13" t="s">
        <v>15</v>
      </c>
      <c r="B7" s="14"/>
      <c r="C7" s="14"/>
      <c r="D7" s="16" t="s">
        <v>16</v>
      </c>
      <c r="E7" s="14"/>
      <c r="F7" s="15"/>
    </row>
    <row r="8" customFormat="false" ht="14.9" hidden="false" customHeight="false" outlineLevel="0" collapsed="false">
      <c r="A8" s="17" t="s">
        <v>17</v>
      </c>
      <c r="B8" s="18" t="s">
        <v>18</v>
      </c>
      <c r="C8" s="19" t="n">
        <v>80</v>
      </c>
      <c r="D8" s="18"/>
      <c r="E8" s="20"/>
      <c r="F8" s="21" t="s">
        <v>19</v>
      </c>
    </row>
    <row r="9" customFormat="false" ht="15.75" hidden="false" customHeight="true" outlineLevel="0" collapsed="false">
      <c r="A9" s="22" t="s">
        <v>20</v>
      </c>
      <c r="B9" s="23" t="s">
        <v>21</v>
      </c>
      <c r="C9" s="24" t="n">
        <f aca="false">E9*13</f>
        <v>273</v>
      </c>
      <c r="D9" s="23"/>
      <c r="E9" s="25" t="n">
        <v>21</v>
      </c>
      <c r="F9" s="26" t="s">
        <v>22</v>
      </c>
    </row>
    <row r="10" customFormat="false" ht="15.75" hidden="false" customHeight="true" outlineLevel="0" collapsed="false">
      <c r="A10" s="22" t="s">
        <v>23</v>
      </c>
      <c r="B10" s="23"/>
      <c r="C10" s="24" t="n">
        <f aca="false">E10*15</f>
        <v>390</v>
      </c>
      <c r="D10" s="27"/>
      <c r="E10" s="25" t="n">
        <v>26</v>
      </c>
      <c r="F10" s="26" t="s">
        <v>24</v>
      </c>
    </row>
    <row r="11" customFormat="false" ht="15.75" hidden="false" customHeight="true" outlineLevel="0" collapsed="false">
      <c r="A11" s="28" t="s">
        <v>25</v>
      </c>
      <c r="B11" s="29" t="s">
        <v>26</v>
      </c>
      <c r="C11" s="24" t="n">
        <f aca="false">E11*14</f>
        <v>364</v>
      </c>
      <c r="D11" s="30"/>
      <c r="E11" s="31" t="n">
        <v>26</v>
      </c>
      <c r="F11" s="32" t="s">
        <v>27</v>
      </c>
    </row>
    <row r="12" customFormat="false" ht="15.75" hidden="false" customHeight="true" outlineLevel="0" collapsed="false">
      <c r="A12" s="33" t="s">
        <v>28</v>
      </c>
      <c r="B12" s="29"/>
      <c r="C12" s="24" t="n">
        <f aca="false">G12</f>
        <v>468</v>
      </c>
      <c r="D12" s="34" t="s">
        <v>83</v>
      </c>
      <c r="E12" s="31" t="n">
        <v>26</v>
      </c>
      <c r="F12" s="32" t="s">
        <v>30</v>
      </c>
      <c r="G12" s="1" t="n">
        <f aca="false">E12*15+12*2+3*18</f>
        <v>468</v>
      </c>
    </row>
    <row r="13" customFormat="false" ht="15.75" hidden="false" customHeight="true" outlineLevel="0" collapsed="false">
      <c r="A13" s="28" t="s">
        <v>33</v>
      </c>
      <c r="B13" s="29"/>
      <c r="C13" s="35" t="n">
        <f aca="false">16*E13</f>
        <v>416</v>
      </c>
      <c r="D13" s="30"/>
      <c r="E13" s="31" t="n">
        <v>26</v>
      </c>
      <c r="F13" s="32" t="s">
        <v>34</v>
      </c>
    </row>
    <row r="14" customFormat="false" ht="15.75" hidden="false" customHeight="true" outlineLevel="0" collapsed="false">
      <c r="A14" s="36" t="s">
        <v>35</v>
      </c>
      <c r="B14" s="37"/>
      <c r="C14" s="38" t="n">
        <f aca="false">16*E14</f>
        <v>176</v>
      </c>
      <c r="D14" s="39"/>
      <c r="E14" s="40" t="n">
        <v>11</v>
      </c>
      <c r="F14" s="41" t="s">
        <v>34</v>
      </c>
    </row>
    <row r="15" customFormat="false" ht="15.75" hidden="false" customHeight="true" outlineLevel="0" collapsed="false"/>
    <row r="16" customFormat="false" ht="15.75" hidden="false" customHeight="true" outlineLevel="0" collapsed="false">
      <c r="A16" s="7" t="s">
        <v>36</v>
      </c>
      <c r="B16" s="7"/>
      <c r="C16" s="8"/>
      <c r="D16" s="42" t="s">
        <v>37</v>
      </c>
      <c r="E16" s="43"/>
      <c r="F16" s="2" t="s">
        <v>4</v>
      </c>
    </row>
    <row r="17" customFormat="false" ht="15.75" hidden="false" customHeight="true" outlineLevel="0" collapsed="false">
      <c r="A17" s="9" t="s">
        <v>5</v>
      </c>
      <c r="B17" s="10" t="s">
        <v>6</v>
      </c>
      <c r="C17" s="10" t="s">
        <v>7</v>
      </c>
      <c r="D17" s="44" t="s">
        <v>8</v>
      </c>
      <c r="E17" s="44" t="s">
        <v>9</v>
      </c>
      <c r="F17" s="12" t="s">
        <v>10</v>
      </c>
    </row>
    <row r="18" customFormat="false" ht="15.75" hidden="false" customHeight="true" outlineLevel="0" collapsed="false">
      <c r="A18" s="45" t="s">
        <v>38</v>
      </c>
      <c r="B18" s="46"/>
      <c r="C18" s="47" t="n">
        <f aca="false">E18*F18</f>
        <v>32</v>
      </c>
      <c r="D18" s="48" t="s">
        <v>84</v>
      </c>
      <c r="E18" s="49" t="n">
        <v>2</v>
      </c>
      <c r="F18" s="50" t="n">
        <v>16</v>
      </c>
    </row>
    <row r="19" customFormat="false" ht="15.75" hidden="true" customHeight="true" outlineLevel="0" collapsed="false">
      <c r="A19" s="45"/>
      <c r="B19" s="46"/>
      <c r="C19" s="47" t="n">
        <f aca="false">E19*F19</f>
        <v>0</v>
      </c>
      <c r="D19" s="48"/>
      <c r="E19" s="49"/>
      <c r="F19" s="50"/>
    </row>
    <row r="20" customFormat="false" ht="15.75" hidden="true" customHeight="true" outlineLevel="0" collapsed="false">
      <c r="A20" s="51" t="s">
        <v>40</v>
      </c>
      <c r="B20" s="52"/>
      <c r="C20" s="47" t="n">
        <f aca="false">E20*F20</f>
        <v>0</v>
      </c>
      <c r="D20" s="48"/>
      <c r="E20" s="49"/>
      <c r="F20" s="50"/>
    </row>
    <row r="21" customFormat="false" ht="15.75" hidden="true" customHeight="true" outlineLevel="0" collapsed="false">
      <c r="A21" s="53" t="s">
        <v>41</v>
      </c>
      <c r="B21" s="54"/>
      <c r="C21" s="47" t="n">
        <f aca="false">E21*F21</f>
        <v>0</v>
      </c>
      <c r="D21" s="55"/>
      <c r="E21" s="56"/>
      <c r="F21" s="57"/>
    </row>
    <row r="22" customFormat="false" ht="15.75" hidden="true" customHeight="true" outlineLevel="0" collapsed="false">
      <c r="A22" s="53" t="s">
        <v>42</v>
      </c>
      <c r="B22" s="54"/>
      <c r="C22" s="47" t="n">
        <f aca="false">E22*F22</f>
        <v>0</v>
      </c>
      <c r="D22" s="55"/>
      <c r="E22" s="56"/>
      <c r="F22" s="57"/>
    </row>
    <row r="23" customFormat="false" ht="15.75" hidden="false" customHeight="true" outlineLevel="0" collapsed="false">
      <c r="A23" s="58" t="s">
        <v>40</v>
      </c>
      <c r="B23" s="54"/>
      <c r="C23" s="47" t="n">
        <f aca="false">E23*F23</f>
        <v>30</v>
      </c>
      <c r="D23" s="59" t="s">
        <v>85</v>
      </c>
      <c r="E23" s="56" t="n">
        <v>3</v>
      </c>
      <c r="F23" s="57" t="n">
        <v>10</v>
      </c>
    </row>
    <row r="24" customFormat="false" ht="15.75" hidden="true" customHeight="true" outlineLevel="0" collapsed="false">
      <c r="A24" s="60" t="s">
        <v>44</v>
      </c>
      <c r="B24" s="52"/>
      <c r="C24" s="47" t="n">
        <f aca="false">E24*F24</f>
        <v>0</v>
      </c>
      <c r="D24" s="55"/>
      <c r="E24" s="56"/>
      <c r="F24" s="61"/>
    </row>
    <row r="25" customFormat="false" ht="15.75" hidden="true" customHeight="true" outlineLevel="0" collapsed="false">
      <c r="A25" s="53" t="s">
        <v>45</v>
      </c>
      <c r="B25" s="54"/>
      <c r="C25" s="47" t="n">
        <f aca="false">E25*F25</f>
        <v>0</v>
      </c>
      <c r="D25" s="55"/>
      <c r="E25" s="56"/>
      <c r="F25" s="57"/>
    </row>
    <row r="26" customFormat="false" ht="15.75" hidden="true" customHeight="true" outlineLevel="0" collapsed="false">
      <c r="A26" s="53" t="s">
        <v>46</v>
      </c>
      <c r="B26" s="54"/>
      <c r="C26" s="47" t="n">
        <f aca="false">E26*F26</f>
        <v>0</v>
      </c>
      <c r="D26" s="55"/>
      <c r="E26" s="56"/>
      <c r="F26" s="57"/>
    </row>
    <row r="27" customFormat="false" ht="15.75" hidden="true" customHeight="true" outlineLevel="0" collapsed="false">
      <c r="A27" s="60" t="s">
        <v>47</v>
      </c>
      <c r="B27" s="52"/>
      <c r="C27" s="47" t="n">
        <f aca="false">E27*F27</f>
        <v>0</v>
      </c>
      <c r="D27" s="55"/>
      <c r="E27" s="56"/>
      <c r="F27" s="61"/>
    </row>
    <row r="28" customFormat="false" ht="15.75" hidden="false" customHeight="true" outlineLevel="0" collapsed="false">
      <c r="A28" s="51" t="s">
        <v>48</v>
      </c>
      <c r="B28" s="52"/>
      <c r="C28" s="47" t="n">
        <f aca="false">E28*F28</f>
        <v>10</v>
      </c>
      <c r="D28" s="55" t="n">
        <v>18</v>
      </c>
      <c r="E28" s="56" t="n">
        <v>1</v>
      </c>
      <c r="F28" s="61" t="n">
        <v>10</v>
      </c>
    </row>
    <row r="29" customFormat="false" ht="15.75" hidden="false" customHeight="true" outlineLevel="0" collapsed="false">
      <c r="A29" s="60" t="s">
        <v>49</v>
      </c>
      <c r="B29" s="52"/>
      <c r="C29" s="47" t="n">
        <f aca="false">E29*F29</f>
        <v>8</v>
      </c>
      <c r="D29" s="55"/>
      <c r="E29" s="56" t="n">
        <v>1</v>
      </c>
      <c r="F29" s="61" t="n">
        <v>8</v>
      </c>
    </row>
    <row r="30" customFormat="false" ht="15.75" hidden="false" customHeight="true" outlineLevel="0" collapsed="false">
      <c r="A30" s="60" t="s">
        <v>50</v>
      </c>
      <c r="B30" s="52"/>
      <c r="C30" s="47" t="n">
        <f aca="false">E30*F30</f>
        <v>8</v>
      </c>
      <c r="D30" s="59" t="s">
        <v>86</v>
      </c>
      <c r="E30" s="56" t="n">
        <v>1</v>
      </c>
      <c r="F30" s="61" t="n">
        <v>8</v>
      </c>
    </row>
    <row r="31" customFormat="false" ht="15.75" hidden="false" customHeight="true" outlineLevel="0" collapsed="false">
      <c r="A31" s="53" t="s">
        <v>51</v>
      </c>
      <c r="B31" s="54"/>
      <c r="C31" s="47" t="n">
        <f aca="false">E31*F31</f>
        <v>8</v>
      </c>
      <c r="D31" s="62" t="n">
        <v>16</v>
      </c>
      <c r="E31" s="56" t="n">
        <v>1</v>
      </c>
      <c r="F31" s="57" t="n">
        <v>8</v>
      </c>
    </row>
    <row r="32" customFormat="false" ht="15.75" hidden="false" customHeight="true" outlineLevel="0" collapsed="false">
      <c r="A32" s="60" t="s">
        <v>46</v>
      </c>
      <c r="B32" s="52"/>
      <c r="C32" s="47" t="n">
        <f aca="false">E32*F32</f>
        <v>8</v>
      </c>
      <c r="D32" s="62" t="n">
        <v>1</v>
      </c>
      <c r="E32" s="63" t="n">
        <v>1</v>
      </c>
      <c r="F32" s="61" t="n">
        <v>8</v>
      </c>
    </row>
    <row r="33" customFormat="false" ht="15.75" hidden="false" customHeight="true" outlineLevel="0" collapsed="false">
      <c r="A33" s="60"/>
      <c r="B33" s="52"/>
      <c r="C33" s="47"/>
      <c r="D33" s="62"/>
      <c r="E33" s="63"/>
      <c r="F33" s="61"/>
    </row>
    <row r="34" customFormat="false" ht="15.75" hidden="false" customHeight="true" outlineLevel="0" collapsed="false">
      <c r="A34" s="53" t="s">
        <v>87</v>
      </c>
      <c r="B34" s="52"/>
      <c r="C34" s="47" t="n">
        <v>16</v>
      </c>
      <c r="D34" s="64" t="s">
        <v>88</v>
      </c>
      <c r="E34" s="63"/>
      <c r="F34" s="61"/>
    </row>
    <row r="35" customFormat="false" ht="15.75" hidden="false" customHeight="true" outlineLevel="0" collapsed="false">
      <c r="A35" s="60" t="s">
        <v>89</v>
      </c>
      <c r="B35" s="52"/>
      <c r="C35" s="47" t="n">
        <v>12</v>
      </c>
      <c r="D35" s="62" t="n">
        <v>24</v>
      </c>
      <c r="E35" s="63"/>
      <c r="F35" s="61"/>
    </row>
    <row r="36" customFormat="false" ht="15.75" hidden="false" customHeight="true" outlineLevel="0" collapsed="false">
      <c r="A36" s="60" t="s">
        <v>61</v>
      </c>
      <c r="B36" s="52"/>
      <c r="C36" s="47" t="n">
        <v>27</v>
      </c>
      <c r="D36" s="64" t="s">
        <v>90</v>
      </c>
      <c r="E36" s="63"/>
      <c r="F36" s="66" t="s">
        <v>91</v>
      </c>
    </row>
    <row r="37" customFormat="false" ht="15.75" hidden="false" customHeight="true" outlineLevel="0" collapsed="false">
      <c r="A37" s="67" t="s">
        <v>64</v>
      </c>
      <c r="B37" s="68"/>
      <c r="C37" s="69" t="n">
        <v>20</v>
      </c>
      <c r="D37" s="102" t="s">
        <v>92</v>
      </c>
      <c r="E37" s="70"/>
      <c r="F37" s="71" t="s">
        <v>65</v>
      </c>
    </row>
    <row r="38" customFormat="false" ht="15.75" hidden="false" customHeight="true" outlineLevel="0" collapsed="false">
      <c r="A38" s="72"/>
      <c r="B38" s="72"/>
      <c r="C38" s="73"/>
      <c r="D38" s="74"/>
      <c r="E38" s="74"/>
      <c r="F38" s="75"/>
      <c r="G38" s="76"/>
    </row>
    <row r="39" customFormat="false" ht="15.75" hidden="false" customHeight="true" outlineLevel="0" collapsed="false">
      <c r="A39" s="77" t="s">
        <v>66</v>
      </c>
      <c r="B39" s="72"/>
      <c r="C39" s="73"/>
      <c r="D39" s="78" t="s">
        <v>67</v>
      </c>
      <c r="E39" s="74"/>
      <c r="F39" s="75"/>
    </row>
    <row r="40" s="1" customFormat="true" ht="15.75" hidden="false" customHeight="true" outlineLevel="0" collapsed="false">
      <c r="A40" s="9" t="s">
        <v>68</v>
      </c>
      <c r="B40" s="9" t="s">
        <v>69</v>
      </c>
      <c r="C40" s="10" t="s">
        <v>7</v>
      </c>
      <c r="D40" s="12" t="s">
        <v>70</v>
      </c>
    </row>
    <row r="41" s="1" customFormat="true" ht="15.75" hidden="false" customHeight="true" outlineLevel="0" collapsed="false">
      <c r="A41" s="79" t="n">
        <v>46001</v>
      </c>
      <c r="B41" s="80" t="s">
        <v>93</v>
      </c>
      <c r="C41" s="81" t="n">
        <v>8</v>
      </c>
      <c r="D41" s="82"/>
    </row>
    <row r="42" s="1" customFormat="true" ht="15.75" hidden="false" customHeight="true" outlineLevel="0" collapsed="false">
      <c r="A42" s="83" t="n">
        <v>46003</v>
      </c>
      <c r="B42" s="84" t="s">
        <v>94</v>
      </c>
      <c r="C42" s="85" t="n">
        <v>12</v>
      </c>
      <c r="D42" s="86"/>
    </row>
    <row r="43" s="1" customFormat="true" ht="15.75" hidden="false" customHeight="true" outlineLevel="0" collapsed="false">
      <c r="A43" s="87" t="n">
        <v>46016</v>
      </c>
      <c r="B43" s="84" t="s">
        <v>95</v>
      </c>
      <c r="C43" s="85" t="n">
        <v>8</v>
      </c>
      <c r="D43" s="86"/>
    </row>
    <row r="44" s="1" customFormat="true" ht="15.75" hidden="false" customHeight="true" outlineLevel="0" collapsed="false">
      <c r="A44" s="87"/>
      <c r="B44" s="84"/>
      <c r="C44" s="85"/>
      <c r="D44" s="86"/>
    </row>
    <row r="45" s="1" customFormat="true" ht="15.75" hidden="false" customHeight="true" outlineLevel="0" collapsed="false">
      <c r="A45" s="87"/>
      <c r="B45" s="84"/>
      <c r="C45" s="85"/>
      <c r="D45" s="86"/>
    </row>
    <row r="46" s="1" customFormat="true" ht="15.75" hidden="false" customHeight="true" outlineLevel="0" collapsed="false">
      <c r="A46" s="88"/>
      <c r="B46" s="89"/>
      <c r="C46" s="90"/>
      <c r="D46" s="91"/>
    </row>
    <row r="47" s="1" customFormat="true" ht="15.75" hidden="false" customHeight="true" outlineLevel="0" collapsed="false">
      <c r="A47" s="92"/>
      <c r="B47" s="93"/>
      <c r="C47" s="69"/>
      <c r="D47" s="94"/>
    </row>
    <row r="48" s="1" customFormat="true" ht="15.75" hidden="false" customHeight="true" outlineLevel="0" collapsed="false">
      <c r="C48" s="2"/>
    </row>
    <row r="49" customFormat="false" ht="15.75" hidden="false" customHeight="true" outlineLevel="0" collapsed="false">
      <c r="A49" s="77" t="s">
        <v>78</v>
      </c>
      <c r="B49" s="96" t="s">
        <v>79</v>
      </c>
      <c r="C49" s="96"/>
      <c r="D49" s="96"/>
      <c r="E49" s="96"/>
      <c r="F49" s="96"/>
      <c r="G49" s="76"/>
    </row>
    <row r="50" customFormat="false" ht="15.75" hidden="false" customHeight="true" outlineLevel="0" collapsed="false">
      <c r="A50" s="9" t="s">
        <v>69</v>
      </c>
      <c r="B50" s="10" t="s">
        <v>80</v>
      </c>
      <c r="C50" s="10" t="s">
        <v>7</v>
      </c>
      <c r="D50" s="12" t="s">
        <v>69</v>
      </c>
      <c r="E50" s="76"/>
      <c r="F50" s="76"/>
    </row>
    <row r="51" s="1" customFormat="true" ht="15.75" hidden="false" customHeight="true" outlineLevel="0" collapsed="false">
      <c r="A51" s="97"/>
      <c r="B51" s="98"/>
      <c r="C51" s="90"/>
      <c r="D51" s="99"/>
    </row>
    <row r="52" s="1" customFormat="true" ht="15.75" hidden="false" customHeight="true" outlineLevel="0" collapsed="false">
      <c r="A52" s="97"/>
      <c r="B52" s="98"/>
      <c r="C52" s="90"/>
      <c r="D52" s="99"/>
    </row>
    <row r="53" s="1" customFormat="true" ht="15.75" hidden="false" customHeight="true" outlineLevel="0" collapsed="false">
      <c r="A53" s="100"/>
      <c r="B53" s="101"/>
      <c r="C53" s="69"/>
      <c r="D53" s="94"/>
    </row>
    <row r="54" s="1" customFormat="true" ht="11.25" hidden="false" customHeight="false" outlineLevel="0" collapsed="false">
      <c r="C54" s="2"/>
    </row>
    <row r="55" s="1" customFormat="true" ht="11.25" hidden="false" customHeight="false" outlineLevel="0" collapsed="false">
      <c r="C55" s="2"/>
    </row>
    <row r="56" s="1" customFormat="true" ht="11.25" hidden="false" customHeight="false" outlineLevel="0" collapsed="false">
      <c r="C56" s="2"/>
    </row>
    <row r="57" s="1" customFormat="true" ht="11.25" hidden="false" customHeight="false" outlineLevel="0" collapsed="false">
      <c r="C57" s="2"/>
    </row>
  </sheetData>
  <mergeCells count="2">
    <mergeCell ref="B1:C1"/>
    <mergeCell ref="B49:F49"/>
  </mergeCells>
  <printOptions headings="false" gridLines="false" gridLinesSet="true" horizontalCentered="false" verticalCentered="true"/>
  <pageMargins left="0.708333333333333" right="0.708333333333333" top="0" bottom="0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72C4"/>
    <pageSetUpPr fitToPage="true"/>
  </sheetPr>
  <dimension ref="A1:G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41" activeCellId="0" sqref="F41"/>
    </sheetView>
  </sheetViews>
  <sheetFormatPr defaultColWidth="9.79296875" defaultRowHeight="11.25" zeroHeight="false" outlineLevelRow="0" outlineLevelCol="0"/>
  <cols>
    <col collapsed="false" customWidth="true" hidden="false" outlineLevel="0" max="1" min="1" style="1" width="36.91"/>
    <col collapsed="false" customWidth="true" hidden="false" outlineLevel="0" max="2" min="2" style="1" width="26.61"/>
    <col collapsed="false" customWidth="true" hidden="false" outlineLevel="0" max="3" min="3" style="2" width="13.22"/>
    <col collapsed="false" customWidth="true" hidden="false" outlineLevel="0" max="4" min="4" style="1" width="56.48"/>
    <col collapsed="false" customWidth="true" hidden="false" outlineLevel="0" max="5" min="5" style="2" width="14.25"/>
    <col collapsed="false" customWidth="true" hidden="false" outlineLevel="0" max="6" min="6" style="2" width="45.66"/>
    <col collapsed="false" customWidth="false" hidden="false" outlineLevel="0" max="16384" min="7" style="1" width="9.79"/>
  </cols>
  <sheetData>
    <row r="1" customFormat="false" ht="15.75" hidden="false" customHeight="true" outlineLevel="0" collapsed="false">
      <c r="A1" s="3" t="s">
        <v>96</v>
      </c>
      <c r="B1" s="4" t="s">
        <v>1</v>
      </c>
      <c r="C1" s="4"/>
      <c r="D1" s="5" t="s">
        <v>97</v>
      </c>
      <c r="F1" s="95" t="s">
        <v>74</v>
      </c>
    </row>
    <row r="2" customFormat="false" ht="15.75" hidden="false" customHeight="true" outlineLevel="0" collapsed="false">
      <c r="D2" s="1" t="s">
        <v>75</v>
      </c>
      <c r="E2" s="2" t="n">
        <v>22</v>
      </c>
      <c r="F2" s="1"/>
    </row>
    <row r="3" customFormat="false" ht="15.75" hidden="false" customHeight="true" outlineLevel="0" collapsed="false">
      <c r="A3" s="7" t="s">
        <v>76</v>
      </c>
      <c r="B3" s="7"/>
      <c r="C3" s="8"/>
      <c r="D3" s="1" t="s">
        <v>77</v>
      </c>
      <c r="E3" s="2" t="n">
        <v>26</v>
      </c>
      <c r="F3" s="2" t="s">
        <v>4</v>
      </c>
    </row>
    <row r="4" customFormat="false" ht="15.75" hidden="false" customHeight="true" outlineLevel="0" collapsed="false">
      <c r="A4" s="9" t="s">
        <v>5</v>
      </c>
      <c r="B4" s="10" t="s">
        <v>6</v>
      </c>
      <c r="C4" s="10" t="s">
        <v>7</v>
      </c>
      <c r="D4" s="11" t="s">
        <v>8</v>
      </c>
      <c r="E4" s="11" t="s">
        <v>9</v>
      </c>
      <c r="F4" s="12" t="s">
        <v>10</v>
      </c>
    </row>
    <row r="5" customFormat="false" ht="14.9" hidden="false" customHeight="false" outlineLevel="0" collapsed="false">
      <c r="A5" s="13" t="s">
        <v>11</v>
      </c>
      <c r="B5" s="14"/>
      <c r="C5" s="14"/>
      <c r="D5" s="14" t="s">
        <v>12</v>
      </c>
      <c r="E5" s="14"/>
      <c r="F5" s="15"/>
    </row>
    <row r="6" customFormat="false" ht="11.25" hidden="false" customHeight="false" outlineLevel="0" collapsed="false">
      <c r="A6" s="13" t="s">
        <v>13</v>
      </c>
      <c r="B6" s="14"/>
      <c r="C6" s="14"/>
      <c r="D6" s="16" t="s">
        <v>14</v>
      </c>
      <c r="E6" s="14"/>
      <c r="F6" s="15"/>
    </row>
    <row r="7" customFormat="false" ht="14.9" hidden="false" customHeight="false" outlineLevel="0" collapsed="false">
      <c r="A7" s="13" t="s">
        <v>15</v>
      </c>
      <c r="B7" s="14"/>
      <c r="C7" s="14"/>
      <c r="D7" s="16" t="s">
        <v>16</v>
      </c>
      <c r="E7" s="14"/>
      <c r="F7" s="15"/>
    </row>
    <row r="8" customFormat="false" ht="14.9" hidden="false" customHeight="false" outlineLevel="0" collapsed="false">
      <c r="A8" s="17" t="s">
        <v>17</v>
      </c>
      <c r="B8" s="18" t="s">
        <v>18</v>
      </c>
      <c r="C8" s="19" t="n">
        <v>80</v>
      </c>
      <c r="D8" s="18"/>
      <c r="E8" s="20"/>
      <c r="F8" s="21" t="s">
        <v>19</v>
      </c>
    </row>
    <row r="9" customFormat="false" ht="15.75" hidden="false" customHeight="true" outlineLevel="0" collapsed="false">
      <c r="A9" s="22" t="s">
        <v>20</v>
      </c>
      <c r="B9" s="23" t="s">
        <v>21</v>
      </c>
      <c r="C9" s="24" t="n">
        <f aca="false">E9*13</f>
        <v>286</v>
      </c>
      <c r="D9" s="23"/>
      <c r="E9" s="25" t="n">
        <v>22</v>
      </c>
      <c r="F9" s="26" t="s">
        <v>22</v>
      </c>
    </row>
    <row r="10" customFormat="false" ht="15.75" hidden="false" customHeight="true" outlineLevel="0" collapsed="false">
      <c r="A10" s="22" t="s">
        <v>23</v>
      </c>
      <c r="B10" s="23"/>
      <c r="C10" s="24" t="n">
        <f aca="false">E10*15</f>
        <v>390</v>
      </c>
      <c r="D10" s="27"/>
      <c r="E10" s="25" t="n">
        <v>26</v>
      </c>
      <c r="F10" s="26" t="s">
        <v>24</v>
      </c>
    </row>
    <row r="11" customFormat="false" ht="15.75" hidden="false" customHeight="true" outlineLevel="0" collapsed="false">
      <c r="A11" s="28" t="s">
        <v>25</v>
      </c>
      <c r="B11" s="29" t="s">
        <v>26</v>
      </c>
      <c r="C11" s="24" t="n">
        <f aca="false">E11*14</f>
        <v>364</v>
      </c>
      <c r="D11" s="30"/>
      <c r="E11" s="31" t="n">
        <v>26</v>
      </c>
      <c r="F11" s="32" t="s">
        <v>27</v>
      </c>
    </row>
    <row r="12" customFormat="false" ht="15.75" hidden="false" customHeight="true" outlineLevel="0" collapsed="false">
      <c r="A12" s="33" t="s">
        <v>28</v>
      </c>
      <c r="B12" s="29"/>
      <c r="C12" s="24" t="n">
        <f aca="false">G12</f>
        <v>465</v>
      </c>
      <c r="D12" s="103" t="s">
        <v>98</v>
      </c>
      <c r="E12" s="31" t="n">
        <v>27</v>
      </c>
      <c r="F12" s="32" t="s">
        <v>30</v>
      </c>
      <c r="G12" s="1" t="n">
        <f aca="false">E12*15+12*0+3*20</f>
        <v>465</v>
      </c>
    </row>
    <row r="13" customFormat="false" ht="15.75" hidden="false" customHeight="true" outlineLevel="0" collapsed="false">
      <c r="A13" s="28" t="s">
        <v>33</v>
      </c>
      <c r="B13" s="29"/>
      <c r="C13" s="35" t="n">
        <f aca="false">16*E13</f>
        <v>416</v>
      </c>
      <c r="D13" s="30"/>
      <c r="E13" s="31" t="n">
        <v>26</v>
      </c>
      <c r="F13" s="32" t="s">
        <v>34</v>
      </c>
    </row>
    <row r="14" customFormat="false" ht="15.75" hidden="false" customHeight="true" outlineLevel="0" collapsed="false">
      <c r="A14" s="36" t="s">
        <v>35</v>
      </c>
      <c r="B14" s="37"/>
      <c r="C14" s="38" t="n">
        <f aca="false">16*E14</f>
        <v>208</v>
      </c>
      <c r="D14" s="39"/>
      <c r="E14" s="40" t="n">
        <v>13</v>
      </c>
      <c r="F14" s="41" t="s">
        <v>34</v>
      </c>
    </row>
    <row r="15" customFormat="false" ht="15.75" hidden="false" customHeight="true" outlineLevel="0" collapsed="false"/>
    <row r="16" customFormat="false" ht="15.75" hidden="false" customHeight="true" outlineLevel="0" collapsed="false">
      <c r="A16" s="7" t="s">
        <v>36</v>
      </c>
      <c r="B16" s="7"/>
      <c r="C16" s="8"/>
      <c r="D16" s="42" t="s">
        <v>37</v>
      </c>
      <c r="E16" s="43"/>
      <c r="F16" s="2" t="s">
        <v>4</v>
      </c>
    </row>
    <row r="17" customFormat="false" ht="15.75" hidden="false" customHeight="true" outlineLevel="0" collapsed="false">
      <c r="A17" s="9" t="s">
        <v>5</v>
      </c>
      <c r="B17" s="10" t="s">
        <v>6</v>
      </c>
      <c r="C17" s="10" t="s">
        <v>7</v>
      </c>
      <c r="D17" s="44" t="s">
        <v>8</v>
      </c>
      <c r="E17" s="44" t="s">
        <v>9</v>
      </c>
      <c r="F17" s="12" t="s">
        <v>10</v>
      </c>
    </row>
    <row r="18" customFormat="false" ht="15.75" hidden="false" customHeight="true" outlineLevel="0" collapsed="false">
      <c r="A18" s="45" t="s">
        <v>38</v>
      </c>
      <c r="B18" s="46"/>
      <c r="C18" s="47" t="n">
        <f aca="false">E18*F18</f>
        <v>32</v>
      </c>
      <c r="D18" s="48" t="s">
        <v>99</v>
      </c>
      <c r="E18" s="49" t="n">
        <v>2</v>
      </c>
      <c r="F18" s="50" t="n">
        <v>16</v>
      </c>
    </row>
    <row r="19" customFormat="false" ht="15.75" hidden="true" customHeight="true" outlineLevel="0" collapsed="false">
      <c r="A19" s="45"/>
      <c r="B19" s="46"/>
      <c r="C19" s="47" t="n">
        <f aca="false">E19*F19</f>
        <v>0</v>
      </c>
      <c r="D19" s="48"/>
      <c r="E19" s="49"/>
      <c r="F19" s="50"/>
    </row>
    <row r="20" customFormat="false" ht="15.75" hidden="true" customHeight="true" outlineLevel="0" collapsed="false">
      <c r="A20" s="51" t="s">
        <v>40</v>
      </c>
      <c r="B20" s="52"/>
      <c r="C20" s="47" t="n">
        <f aca="false">E20*F20</f>
        <v>0</v>
      </c>
      <c r="D20" s="48"/>
      <c r="E20" s="49"/>
      <c r="F20" s="50"/>
    </row>
    <row r="21" customFormat="false" ht="15.75" hidden="true" customHeight="true" outlineLevel="0" collapsed="false">
      <c r="A21" s="53" t="s">
        <v>41</v>
      </c>
      <c r="B21" s="54"/>
      <c r="C21" s="47" t="n">
        <f aca="false">E21*F21</f>
        <v>0</v>
      </c>
      <c r="D21" s="55"/>
      <c r="E21" s="56"/>
      <c r="F21" s="57"/>
    </row>
    <row r="22" customFormat="false" ht="15.75" hidden="true" customHeight="true" outlineLevel="0" collapsed="false">
      <c r="A22" s="53" t="s">
        <v>42</v>
      </c>
      <c r="B22" s="54"/>
      <c r="C22" s="47" t="n">
        <f aca="false">E22*F22</f>
        <v>0</v>
      </c>
      <c r="D22" s="55"/>
      <c r="E22" s="56"/>
      <c r="F22" s="57"/>
    </row>
    <row r="23" customFormat="false" ht="15.75" hidden="false" customHeight="true" outlineLevel="0" collapsed="false">
      <c r="A23" s="58" t="s">
        <v>40</v>
      </c>
      <c r="B23" s="54"/>
      <c r="C23" s="47" t="n">
        <f aca="false">E23*F23</f>
        <v>20</v>
      </c>
      <c r="D23" s="59" t="s">
        <v>100</v>
      </c>
      <c r="E23" s="56" t="n">
        <v>2</v>
      </c>
      <c r="F23" s="57" t="n">
        <v>10</v>
      </c>
    </row>
    <row r="24" customFormat="false" ht="15.75" hidden="true" customHeight="true" outlineLevel="0" collapsed="false">
      <c r="A24" s="60" t="s">
        <v>44</v>
      </c>
      <c r="B24" s="52"/>
      <c r="C24" s="47" t="n">
        <f aca="false">E24*F24</f>
        <v>0</v>
      </c>
      <c r="D24" s="55"/>
      <c r="E24" s="56"/>
      <c r="F24" s="61"/>
    </row>
    <row r="25" customFormat="false" ht="15.75" hidden="true" customHeight="true" outlineLevel="0" collapsed="false">
      <c r="A25" s="53" t="s">
        <v>45</v>
      </c>
      <c r="B25" s="54"/>
      <c r="C25" s="47" t="n">
        <f aca="false">E25*F25</f>
        <v>0</v>
      </c>
      <c r="D25" s="55"/>
      <c r="E25" s="56"/>
      <c r="F25" s="57"/>
    </row>
    <row r="26" customFormat="false" ht="15.75" hidden="true" customHeight="true" outlineLevel="0" collapsed="false">
      <c r="A26" s="53" t="s">
        <v>46</v>
      </c>
      <c r="B26" s="54"/>
      <c r="C26" s="47" t="n">
        <f aca="false">E26*F26</f>
        <v>0</v>
      </c>
      <c r="D26" s="55"/>
      <c r="E26" s="56"/>
      <c r="F26" s="57"/>
    </row>
    <row r="27" customFormat="false" ht="15.75" hidden="true" customHeight="true" outlineLevel="0" collapsed="false">
      <c r="A27" s="60" t="s">
        <v>47</v>
      </c>
      <c r="B27" s="52"/>
      <c r="C27" s="47" t="n">
        <f aca="false">E27*F27</f>
        <v>0</v>
      </c>
      <c r="D27" s="55"/>
      <c r="E27" s="56"/>
      <c r="F27" s="61"/>
    </row>
    <row r="28" customFormat="false" ht="15.75" hidden="false" customHeight="true" outlineLevel="0" collapsed="false">
      <c r="A28" s="51" t="s">
        <v>48</v>
      </c>
      <c r="B28" s="52"/>
      <c r="C28" s="47" t="n">
        <f aca="false">E28*F28</f>
        <v>0</v>
      </c>
      <c r="D28" s="104"/>
      <c r="E28" s="56"/>
      <c r="F28" s="61" t="n">
        <v>10</v>
      </c>
    </row>
    <row r="29" customFormat="false" ht="15.75" hidden="false" customHeight="true" outlineLevel="0" collapsed="false">
      <c r="A29" s="60" t="s">
        <v>49</v>
      </c>
      <c r="B29" s="52"/>
      <c r="C29" s="47" t="n">
        <f aca="false">E29*F29</f>
        <v>16</v>
      </c>
      <c r="D29" s="59" t="s">
        <v>101</v>
      </c>
      <c r="E29" s="56" t="n">
        <v>2</v>
      </c>
      <c r="F29" s="61" t="n">
        <v>8</v>
      </c>
    </row>
    <row r="30" customFormat="false" ht="15.75" hidden="false" customHeight="true" outlineLevel="0" collapsed="false">
      <c r="A30" s="60" t="s">
        <v>61</v>
      </c>
      <c r="B30" s="52"/>
      <c r="C30" s="47" t="n">
        <v>26</v>
      </c>
      <c r="D30" s="55" t="s">
        <v>102</v>
      </c>
      <c r="E30" s="56"/>
      <c r="F30" s="66" t="s">
        <v>103</v>
      </c>
    </row>
    <row r="31" customFormat="false" ht="15.75" hidden="false" customHeight="true" outlineLevel="0" collapsed="false">
      <c r="A31" s="53" t="s">
        <v>104</v>
      </c>
      <c r="B31" s="54"/>
      <c r="C31" s="105" t="n">
        <v>16</v>
      </c>
      <c r="D31" s="106" t="s">
        <v>105</v>
      </c>
      <c r="E31" s="56"/>
      <c r="F31" s="57"/>
    </row>
    <row r="32" customFormat="false" ht="15.75" hidden="false" customHeight="true" outlineLevel="0" collapsed="false">
      <c r="A32" s="60"/>
      <c r="B32" s="52"/>
      <c r="C32" s="107"/>
      <c r="D32" s="62"/>
      <c r="E32" s="63"/>
      <c r="F32" s="61"/>
    </row>
    <row r="33" customFormat="false" ht="15.75" hidden="false" customHeight="true" outlineLevel="0" collapsed="false">
      <c r="A33" s="67" t="s">
        <v>64</v>
      </c>
      <c r="B33" s="68"/>
      <c r="C33" s="69" t="n">
        <v>10</v>
      </c>
      <c r="D33" s="102" t="s">
        <v>106</v>
      </c>
      <c r="E33" s="70"/>
      <c r="F33" s="71" t="s">
        <v>107</v>
      </c>
    </row>
    <row r="34" customFormat="false" ht="15.75" hidden="false" customHeight="true" outlineLevel="0" collapsed="false">
      <c r="A34" s="72"/>
      <c r="B34" s="72"/>
      <c r="C34" s="73"/>
      <c r="D34" s="74"/>
      <c r="E34" s="74"/>
      <c r="F34" s="75"/>
      <c r="G34" s="76"/>
    </row>
    <row r="35" customFormat="false" ht="15.75" hidden="false" customHeight="true" outlineLevel="0" collapsed="false">
      <c r="A35" s="77" t="s">
        <v>66</v>
      </c>
      <c r="B35" s="72"/>
      <c r="C35" s="73"/>
      <c r="D35" s="78" t="s">
        <v>67</v>
      </c>
      <c r="E35" s="74"/>
      <c r="F35" s="75"/>
    </row>
    <row r="36" s="1" customFormat="true" ht="15.75" hidden="false" customHeight="true" outlineLevel="0" collapsed="false">
      <c r="A36" s="9" t="s">
        <v>68</v>
      </c>
      <c r="B36" s="9" t="s">
        <v>69</v>
      </c>
      <c r="C36" s="10" t="s">
        <v>7</v>
      </c>
      <c r="D36" s="12" t="s">
        <v>70</v>
      </c>
    </row>
    <row r="37" s="1" customFormat="true" ht="15.75" hidden="false" customHeight="true" outlineLevel="0" collapsed="false">
      <c r="A37" s="79" t="n">
        <v>45957</v>
      </c>
      <c r="B37" s="80" t="s">
        <v>108</v>
      </c>
      <c r="C37" s="81" t="n">
        <v>8</v>
      </c>
      <c r="D37" s="82"/>
    </row>
    <row r="38" s="1" customFormat="true" ht="15.75" hidden="false" customHeight="true" outlineLevel="0" collapsed="false">
      <c r="A38" s="83" t="n">
        <v>45959</v>
      </c>
      <c r="B38" s="84" t="s">
        <v>109</v>
      </c>
      <c r="C38" s="85" t="n">
        <v>8</v>
      </c>
      <c r="D38" s="86"/>
    </row>
    <row r="39" s="1" customFormat="true" ht="15.75" hidden="false" customHeight="true" outlineLevel="0" collapsed="false">
      <c r="A39" s="87" t="n">
        <v>45960</v>
      </c>
      <c r="B39" s="84" t="s">
        <v>110</v>
      </c>
      <c r="C39" s="85" t="n">
        <v>8</v>
      </c>
      <c r="D39" s="86"/>
    </row>
    <row r="40" s="1" customFormat="true" ht="15.75" hidden="false" customHeight="true" outlineLevel="0" collapsed="false">
      <c r="A40" s="87" t="n">
        <v>45961</v>
      </c>
      <c r="B40" s="84" t="s">
        <v>111</v>
      </c>
      <c r="C40" s="85" t="n">
        <v>8</v>
      </c>
      <c r="D40" s="86"/>
    </row>
    <row r="41" s="1" customFormat="true" ht="15.75" hidden="false" customHeight="true" outlineLevel="0" collapsed="false">
      <c r="A41" s="87" t="n">
        <v>45966</v>
      </c>
      <c r="B41" s="84" t="s">
        <v>112</v>
      </c>
      <c r="C41" s="85" t="n">
        <v>8</v>
      </c>
      <c r="D41" s="86"/>
    </row>
    <row r="42" s="1" customFormat="true" ht="15.75" hidden="false" customHeight="true" outlineLevel="0" collapsed="false">
      <c r="A42" s="88" t="n">
        <v>45976</v>
      </c>
      <c r="B42" s="108" t="s">
        <v>113</v>
      </c>
      <c r="C42" s="90" t="n">
        <v>8</v>
      </c>
      <c r="D42" s="91"/>
    </row>
    <row r="43" s="1" customFormat="true" ht="15.75" hidden="false" customHeight="true" outlineLevel="0" collapsed="false">
      <c r="A43" s="92"/>
      <c r="B43" s="93"/>
      <c r="C43" s="69"/>
      <c r="D43" s="94"/>
    </row>
    <row r="44" s="1" customFormat="true" ht="15.75" hidden="false" customHeight="true" outlineLevel="0" collapsed="false">
      <c r="C44" s="2"/>
    </row>
    <row r="45" customFormat="false" ht="15.75" hidden="false" customHeight="true" outlineLevel="0" collapsed="false">
      <c r="A45" s="77" t="s">
        <v>78</v>
      </c>
      <c r="B45" s="96" t="s">
        <v>79</v>
      </c>
      <c r="C45" s="96"/>
      <c r="D45" s="96"/>
      <c r="E45" s="96"/>
      <c r="F45" s="96"/>
      <c r="G45" s="76"/>
    </row>
    <row r="46" customFormat="false" ht="15.75" hidden="false" customHeight="true" outlineLevel="0" collapsed="false">
      <c r="A46" s="9" t="s">
        <v>69</v>
      </c>
      <c r="B46" s="10" t="s">
        <v>80</v>
      </c>
      <c r="C46" s="10" t="s">
        <v>7</v>
      </c>
      <c r="D46" s="12" t="s">
        <v>69</v>
      </c>
      <c r="E46" s="76"/>
      <c r="F46" s="76"/>
    </row>
    <row r="47" s="1" customFormat="true" ht="15.75" hidden="false" customHeight="true" outlineLevel="0" collapsed="false">
      <c r="A47" s="97"/>
      <c r="B47" s="98"/>
      <c r="C47" s="90"/>
      <c r="D47" s="99"/>
    </row>
    <row r="48" s="1" customFormat="true" ht="15.75" hidden="false" customHeight="true" outlineLevel="0" collapsed="false">
      <c r="A48" s="97"/>
      <c r="B48" s="98"/>
      <c r="C48" s="90"/>
      <c r="D48" s="99"/>
    </row>
    <row r="49" s="1" customFormat="true" ht="15.75" hidden="false" customHeight="true" outlineLevel="0" collapsed="false">
      <c r="A49" s="100"/>
      <c r="B49" s="101"/>
      <c r="C49" s="69"/>
      <c r="D49" s="94"/>
    </row>
    <row r="50" s="1" customFormat="true" ht="11.25" hidden="false" customHeight="false" outlineLevel="0" collapsed="false">
      <c r="C50" s="2"/>
    </row>
    <row r="51" s="1" customFormat="true" ht="11.25" hidden="false" customHeight="false" outlineLevel="0" collapsed="false">
      <c r="C51" s="2"/>
    </row>
    <row r="52" s="1" customFormat="true" ht="11.25" hidden="false" customHeight="false" outlineLevel="0" collapsed="false">
      <c r="C52" s="2"/>
    </row>
    <row r="53" s="1" customFormat="true" ht="11.25" hidden="false" customHeight="false" outlineLevel="0" collapsed="false">
      <c r="C53" s="2"/>
    </row>
  </sheetData>
  <mergeCells count="2">
    <mergeCell ref="B1:C1"/>
    <mergeCell ref="B45:F45"/>
  </mergeCells>
  <printOptions headings="false" gridLines="false" gridLinesSet="true" horizontalCentered="false" verticalCentered="true"/>
  <pageMargins left="0.708333333333333" right="0.708333333333333" top="0" bottom="0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72C4"/>
    <pageSetUpPr fitToPage="true"/>
  </sheetPr>
  <dimension ref="A1:G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38" activeCellId="0" sqref="F38"/>
    </sheetView>
  </sheetViews>
  <sheetFormatPr defaultColWidth="9.79296875" defaultRowHeight="11.25" zeroHeight="false" outlineLevelRow="0" outlineLevelCol="0"/>
  <cols>
    <col collapsed="false" customWidth="true" hidden="false" outlineLevel="0" max="1" min="1" style="1" width="36.91"/>
    <col collapsed="false" customWidth="true" hidden="false" outlineLevel="0" max="2" min="2" style="1" width="26.61"/>
    <col collapsed="false" customWidth="true" hidden="false" outlineLevel="0" max="3" min="3" style="2" width="13.22"/>
    <col collapsed="false" customWidth="true" hidden="false" outlineLevel="0" max="4" min="4" style="1" width="56.48"/>
    <col collapsed="false" customWidth="true" hidden="false" outlineLevel="0" max="5" min="5" style="2" width="14.25"/>
    <col collapsed="false" customWidth="true" hidden="false" outlineLevel="0" max="6" min="6" style="2" width="45.66"/>
    <col collapsed="false" customWidth="false" hidden="false" outlineLevel="0" max="16384" min="7" style="1" width="9.79"/>
  </cols>
  <sheetData>
    <row r="1" customFormat="false" ht="15.75" hidden="false" customHeight="true" outlineLevel="0" collapsed="false">
      <c r="A1" s="3" t="s">
        <v>114</v>
      </c>
      <c r="B1" s="4" t="s">
        <v>1</v>
      </c>
      <c r="C1" s="4"/>
      <c r="D1" s="5" t="s">
        <v>115</v>
      </c>
      <c r="F1" s="95" t="s">
        <v>74</v>
      </c>
    </row>
    <row r="2" customFormat="false" ht="15.75" hidden="false" customHeight="true" outlineLevel="0" collapsed="false">
      <c r="D2" s="1" t="s">
        <v>75</v>
      </c>
      <c r="E2" s="109" t="s">
        <v>116</v>
      </c>
      <c r="F2" s="1"/>
    </row>
    <row r="3" customFormat="false" ht="15.75" hidden="false" customHeight="true" outlineLevel="0" collapsed="false">
      <c r="A3" s="7" t="s">
        <v>76</v>
      </c>
      <c r="B3" s="7"/>
      <c r="C3" s="8"/>
      <c r="D3" s="1" t="s">
        <v>77</v>
      </c>
      <c r="E3" s="109" t="s">
        <v>117</v>
      </c>
      <c r="F3" s="2" t="s">
        <v>4</v>
      </c>
    </row>
    <row r="4" customFormat="false" ht="15.75" hidden="false" customHeight="true" outlineLevel="0" collapsed="false">
      <c r="A4" s="9" t="s">
        <v>5</v>
      </c>
      <c r="B4" s="10" t="s">
        <v>6</v>
      </c>
      <c r="C4" s="10" t="s">
        <v>7</v>
      </c>
      <c r="D4" s="11" t="s">
        <v>8</v>
      </c>
      <c r="E4" s="11" t="s">
        <v>9</v>
      </c>
      <c r="F4" s="12" t="s">
        <v>10</v>
      </c>
    </row>
    <row r="5" customFormat="false" ht="14.9" hidden="false" customHeight="false" outlineLevel="0" collapsed="false">
      <c r="A5" s="13" t="s">
        <v>11</v>
      </c>
      <c r="B5" s="14"/>
      <c r="C5" s="14"/>
      <c r="D5" s="14" t="s">
        <v>12</v>
      </c>
      <c r="E5" s="14"/>
      <c r="F5" s="15"/>
    </row>
    <row r="6" customFormat="false" ht="11.25" hidden="false" customHeight="false" outlineLevel="0" collapsed="false">
      <c r="A6" s="13" t="s">
        <v>13</v>
      </c>
      <c r="B6" s="14"/>
      <c r="C6" s="14"/>
      <c r="D6" s="16" t="s">
        <v>14</v>
      </c>
      <c r="E6" s="14"/>
      <c r="F6" s="15"/>
    </row>
    <row r="7" customFormat="false" ht="14.9" hidden="false" customHeight="false" outlineLevel="0" collapsed="false">
      <c r="A7" s="13" t="s">
        <v>15</v>
      </c>
      <c r="B7" s="14"/>
      <c r="C7" s="14"/>
      <c r="D7" s="16" t="s">
        <v>16</v>
      </c>
      <c r="E7" s="14"/>
      <c r="F7" s="15"/>
    </row>
    <row r="8" customFormat="false" ht="14.9" hidden="false" customHeight="false" outlineLevel="0" collapsed="false">
      <c r="A8" s="17" t="s">
        <v>17</v>
      </c>
      <c r="B8" s="18" t="s">
        <v>18</v>
      </c>
      <c r="C8" s="19" t="n">
        <v>80</v>
      </c>
      <c r="D8" s="18"/>
      <c r="E8" s="20"/>
      <c r="F8" s="21" t="s">
        <v>19</v>
      </c>
    </row>
    <row r="9" customFormat="false" ht="15.75" hidden="false" customHeight="true" outlineLevel="0" collapsed="false">
      <c r="A9" s="22" t="s">
        <v>20</v>
      </c>
      <c r="B9" s="23" t="s">
        <v>21</v>
      </c>
      <c r="C9" s="24" t="n">
        <f aca="false">E9*13</f>
        <v>260</v>
      </c>
      <c r="D9" s="23"/>
      <c r="E9" s="25" t="n">
        <v>20</v>
      </c>
      <c r="F9" s="26" t="s">
        <v>22</v>
      </c>
    </row>
    <row r="10" customFormat="false" ht="15.75" hidden="false" customHeight="true" outlineLevel="0" collapsed="false">
      <c r="A10" s="22" t="s">
        <v>23</v>
      </c>
      <c r="B10" s="23"/>
      <c r="C10" s="24" t="n">
        <f aca="false">E10*15</f>
        <v>345</v>
      </c>
      <c r="D10" s="27"/>
      <c r="E10" s="25" t="n">
        <v>23</v>
      </c>
      <c r="F10" s="26" t="s">
        <v>24</v>
      </c>
    </row>
    <row r="11" customFormat="false" ht="15.75" hidden="false" customHeight="true" outlineLevel="0" collapsed="false">
      <c r="A11" s="28" t="s">
        <v>25</v>
      </c>
      <c r="B11" s="29" t="s">
        <v>26</v>
      </c>
      <c r="C11" s="24" t="n">
        <f aca="false">E11*14</f>
        <v>322</v>
      </c>
      <c r="D11" s="30"/>
      <c r="E11" s="31" t="n">
        <v>23</v>
      </c>
      <c r="F11" s="32" t="s">
        <v>27</v>
      </c>
    </row>
    <row r="12" customFormat="false" ht="15.75" hidden="false" customHeight="true" outlineLevel="0" collapsed="false">
      <c r="A12" s="33" t="s">
        <v>28</v>
      </c>
      <c r="B12" s="29"/>
      <c r="C12" s="24" t="n">
        <f aca="false">G12</f>
        <v>444</v>
      </c>
      <c r="D12" s="103" t="s">
        <v>118</v>
      </c>
      <c r="E12" s="31" t="n">
        <v>22</v>
      </c>
      <c r="F12" s="32" t="s">
        <v>30</v>
      </c>
      <c r="G12" s="1" t="n">
        <f aca="false">E12*15+12*6+3*14</f>
        <v>444</v>
      </c>
    </row>
    <row r="13" customFormat="false" ht="15.75" hidden="false" customHeight="true" outlineLevel="0" collapsed="false">
      <c r="A13" s="28" t="s">
        <v>33</v>
      </c>
      <c r="B13" s="29"/>
      <c r="C13" s="35" t="n">
        <f aca="false">16*E13</f>
        <v>368</v>
      </c>
      <c r="D13" s="30"/>
      <c r="E13" s="31" t="n">
        <v>23</v>
      </c>
      <c r="F13" s="32" t="s">
        <v>34</v>
      </c>
    </row>
    <row r="14" customFormat="false" ht="15.75" hidden="false" customHeight="true" outlineLevel="0" collapsed="false">
      <c r="A14" s="36" t="s">
        <v>35</v>
      </c>
      <c r="B14" s="37"/>
      <c r="C14" s="38" t="n">
        <f aca="false">16*E14</f>
        <v>160</v>
      </c>
      <c r="D14" s="39"/>
      <c r="E14" s="40" t="n">
        <v>10</v>
      </c>
      <c r="F14" s="41" t="s">
        <v>34</v>
      </c>
    </row>
    <row r="15" customFormat="false" ht="15.75" hidden="false" customHeight="true" outlineLevel="0" collapsed="false"/>
    <row r="16" customFormat="false" ht="15.75" hidden="false" customHeight="true" outlineLevel="0" collapsed="false">
      <c r="A16" s="7" t="s">
        <v>36</v>
      </c>
      <c r="B16" s="7"/>
      <c r="C16" s="8"/>
      <c r="D16" s="42" t="s">
        <v>37</v>
      </c>
      <c r="E16" s="43"/>
      <c r="F16" s="2" t="s">
        <v>4</v>
      </c>
    </row>
    <row r="17" customFormat="false" ht="15.75" hidden="false" customHeight="true" outlineLevel="0" collapsed="false">
      <c r="A17" s="9" t="s">
        <v>5</v>
      </c>
      <c r="B17" s="10" t="s">
        <v>6</v>
      </c>
      <c r="C17" s="10" t="s">
        <v>7</v>
      </c>
      <c r="D17" s="44" t="s">
        <v>8</v>
      </c>
      <c r="E17" s="44" t="s">
        <v>9</v>
      </c>
      <c r="F17" s="12" t="s">
        <v>10</v>
      </c>
    </row>
    <row r="18" customFormat="false" ht="15.75" hidden="false" customHeight="true" outlineLevel="0" collapsed="false">
      <c r="A18" s="45" t="s">
        <v>38</v>
      </c>
      <c r="B18" s="46"/>
      <c r="C18" s="47" t="n">
        <f aca="false">E18*F18</f>
        <v>64</v>
      </c>
      <c r="D18" s="48" t="s">
        <v>119</v>
      </c>
      <c r="E18" s="49" t="n">
        <v>4</v>
      </c>
      <c r="F18" s="50" t="n">
        <v>16</v>
      </c>
    </row>
    <row r="19" customFormat="false" ht="15.75" hidden="true" customHeight="true" outlineLevel="0" collapsed="false">
      <c r="A19" s="45"/>
      <c r="B19" s="46"/>
      <c r="C19" s="47" t="n">
        <f aca="false">E19*F19</f>
        <v>0</v>
      </c>
      <c r="D19" s="48"/>
      <c r="E19" s="49"/>
      <c r="F19" s="50"/>
    </row>
    <row r="20" customFormat="false" ht="15.75" hidden="true" customHeight="true" outlineLevel="0" collapsed="false">
      <c r="A20" s="51" t="s">
        <v>40</v>
      </c>
      <c r="B20" s="52"/>
      <c r="C20" s="47" t="n">
        <f aca="false">E20*F20</f>
        <v>0</v>
      </c>
      <c r="D20" s="48"/>
      <c r="E20" s="49"/>
      <c r="F20" s="50"/>
    </row>
    <row r="21" customFormat="false" ht="15.75" hidden="true" customHeight="true" outlineLevel="0" collapsed="false">
      <c r="A21" s="53" t="s">
        <v>41</v>
      </c>
      <c r="B21" s="54"/>
      <c r="C21" s="47" t="n">
        <f aca="false">E21*F21</f>
        <v>0</v>
      </c>
      <c r="D21" s="55"/>
      <c r="E21" s="56"/>
      <c r="F21" s="57"/>
    </row>
    <row r="22" customFormat="false" ht="15.75" hidden="true" customHeight="true" outlineLevel="0" collapsed="false">
      <c r="A22" s="53" t="s">
        <v>42</v>
      </c>
      <c r="B22" s="54"/>
      <c r="C22" s="47" t="n">
        <f aca="false">E22*F22</f>
        <v>0</v>
      </c>
      <c r="D22" s="55"/>
      <c r="E22" s="56"/>
      <c r="F22" s="57"/>
    </row>
    <row r="23" customFormat="false" ht="15.75" hidden="false" customHeight="true" outlineLevel="0" collapsed="false">
      <c r="A23" s="58" t="s">
        <v>40</v>
      </c>
      <c r="B23" s="54"/>
      <c r="C23" s="47" t="n">
        <f aca="false">E23*F23</f>
        <v>30</v>
      </c>
      <c r="D23" s="59" t="s">
        <v>120</v>
      </c>
      <c r="E23" s="56" t="n">
        <v>3</v>
      </c>
      <c r="F23" s="57" t="n">
        <v>10</v>
      </c>
    </row>
    <row r="24" customFormat="false" ht="15.75" hidden="true" customHeight="true" outlineLevel="0" collapsed="false">
      <c r="A24" s="60" t="s">
        <v>44</v>
      </c>
      <c r="B24" s="52"/>
      <c r="C24" s="47" t="n">
        <f aca="false">E24*F24</f>
        <v>0</v>
      </c>
      <c r="D24" s="55"/>
      <c r="E24" s="56"/>
      <c r="F24" s="61"/>
    </row>
    <row r="25" customFormat="false" ht="15.75" hidden="true" customHeight="true" outlineLevel="0" collapsed="false">
      <c r="A25" s="53" t="s">
        <v>45</v>
      </c>
      <c r="B25" s="54"/>
      <c r="C25" s="47" t="n">
        <f aca="false">E25*F25</f>
        <v>0</v>
      </c>
      <c r="D25" s="55"/>
      <c r="E25" s="56"/>
      <c r="F25" s="57"/>
    </row>
    <row r="26" customFormat="false" ht="15.75" hidden="true" customHeight="true" outlineLevel="0" collapsed="false">
      <c r="A26" s="53" t="s">
        <v>46</v>
      </c>
      <c r="B26" s="54"/>
      <c r="C26" s="47" t="n">
        <f aca="false">E26*F26</f>
        <v>0</v>
      </c>
      <c r="D26" s="55"/>
      <c r="E26" s="56"/>
      <c r="F26" s="57"/>
    </row>
    <row r="27" customFormat="false" ht="15.75" hidden="true" customHeight="true" outlineLevel="0" collapsed="false">
      <c r="A27" s="60" t="s">
        <v>47</v>
      </c>
      <c r="B27" s="52"/>
      <c r="C27" s="47" t="n">
        <f aca="false">E27*F27</f>
        <v>0</v>
      </c>
      <c r="D27" s="55"/>
      <c r="E27" s="56"/>
      <c r="F27" s="61"/>
    </row>
    <row r="28" customFormat="false" ht="15.75" hidden="false" customHeight="true" outlineLevel="0" collapsed="false">
      <c r="A28" s="51" t="s">
        <v>48</v>
      </c>
      <c r="B28" s="52"/>
      <c r="C28" s="47" t="n">
        <f aca="false">E28*F28</f>
        <v>10</v>
      </c>
      <c r="D28" s="104" t="n">
        <v>2</v>
      </c>
      <c r="E28" s="56" t="n">
        <v>1</v>
      </c>
      <c r="F28" s="61" t="n">
        <v>10</v>
      </c>
    </row>
    <row r="29" customFormat="false" ht="15.75" hidden="false" customHeight="true" outlineLevel="0" collapsed="false">
      <c r="A29" s="60"/>
      <c r="B29" s="52"/>
      <c r="C29" s="47"/>
      <c r="D29" s="55"/>
      <c r="E29" s="56"/>
      <c r="F29" s="61"/>
    </row>
    <row r="30" customFormat="false" ht="15.75" hidden="false" customHeight="true" outlineLevel="0" collapsed="false">
      <c r="A30" s="60" t="s">
        <v>49</v>
      </c>
      <c r="B30" s="52"/>
      <c r="C30" s="47"/>
      <c r="D30" s="55"/>
      <c r="E30" s="56"/>
      <c r="F30" s="61"/>
    </row>
    <row r="31" customFormat="false" ht="15.75" hidden="false" customHeight="true" outlineLevel="0" collapsed="false">
      <c r="A31" s="60"/>
      <c r="B31" s="52"/>
      <c r="C31" s="47"/>
      <c r="D31" s="55"/>
      <c r="E31" s="56"/>
      <c r="F31" s="61"/>
    </row>
    <row r="32" customFormat="false" ht="15.75" hidden="false" customHeight="true" outlineLevel="0" collapsed="false">
      <c r="A32" s="53"/>
      <c r="B32" s="54"/>
      <c r="C32" s="105"/>
      <c r="D32" s="104"/>
      <c r="E32" s="56"/>
      <c r="F32" s="57"/>
    </row>
    <row r="33" customFormat="false" ht="15.75" hidden="false" customHeight="true" outlineLevel="0" collapsed="false">
      <c r="A33" s="60" t="s">
        <v>121</v>
      </c>
      <c r="B33" s="52"/>
      <c r="C33" s="107" t="n">
        <v>10</v>
      </c>
      <c r="D33" s="62"/>
      <c r="E33" s="63"/>
      <c r="F33" s="61"/>
    </row>
    <row r="34" customFormat="false" ht="15.75" hidden="false" customHeight="true" outlineLevel="0" collapsed="false">
      <c r="A34" s="67" t="s">
        <v>64</v>
      </c>
      <c r="B34" s="68"/>
      <c r="C34" s="69" t="n">
        <v>10</v>
      </c>
      <c r="D34" s="70"/>
      <c r="E34" s="70"/>
      <c r="F34" s="71"/>
    </row>
    <row r="35" customFormat="false" ht="15.75" hidden="false" customHeight="true" outlineLevel="0" collapsed="false">
      <c r="A35" s="72"/>
      <c r="B35" s="72"/>
      <c r="C35" s="73"/>
      <c r="D35" s="74"/>
      <c r="E35" s="74"/>
      <c r="F35" s="75"/>
      <c r="G35" s="76"/>
    </row>
    <row r="36" customFormat="false" ht="15.75" hidden="false" customHeight="true" outlineLevel="0" collapsed="false">
      <c r="A36" s="77" t="s">
        <v>66</v>
      </c>
      <c r="B36" s="72"/>
      <c r="C36" s="73"/>
      <c r="D36" s="78" t="s">
        <v>67</v>
      </c>
      <c r="E36" s="74"/>
      <c r="F36" s="75"/>
    </row>
    <row r="37" s="1" customFormat="true" ht="15.75" hidden="false" customHeight="true" outlineLevel="0" collapsed="false">
      <c r="A37" s="9" t="s">
        <v>68</v>
      </c>
      <c r="B37" s="9" t="s">
        <v>69</v>
      </c>
      <c r="C37" s="10" t="s">
        <v>7</v>
      </c>
      <c r="D37" s="12" t="s">
        <v>70</v>
      </c>
    </row>
    <row r="38" s="1" customFormat="true" ht="15.75" hidden="false" customHeight="true" outlineLevel="0" collapsed="false">
      <c r="A38" s="79" t="n">
        <v>45930</v>
      </c>
      <c r="B38" s="80" t="s">
        <v>122</v>
      </c>
      <c r="C38" s="81" t="n">
        <v>10</v>
      </c>
      <c r="D38" s="110" t="s">
        <v>123</v>
      </c>
    </row>
    <row r="39" s="1" customFormat="true" ht="15.75" hidden="false" customHeight="true" outlineLevel="0" collapsed="false">
      <c r="A39" s="87" t="n">
        <v>45933</v>
      </c>
      <c r="B39" s="84" t="s">
        <v>124</v>
      </c>
      <c r="C39" s="85" t="n">
        <v>8</v>
      </c>
      <c r="D39" s="86"/>
    </row>
    <row r="40" s="1" customFormat="true" ht="15.75" hidden="false" customHeight="true" outlineLevel="0" collapsed="false">
      <c r="A40" s="87" t="n">
        <v>45940</v>
      </c>
      <c r="B40" s="84" t="s">
        <v>125</v>
      </c>
      <c r="C40" s="85" t="n">
        <v>8</v>
      </c>
      <c r="D40" s="86"/>
    </row>
    <row r="41" s="1" customFormat="true" ht="15.75" hidden="false" customHeight="true" outlineLevel="0" collapsed="false">
      <c r="A41" s="87" t="n">
        <v>45945</v>
      </c>
      <c r="B41" s="84" t="s">
        <v>126</v>
      </c>
      <c r="C41" s="85" t="n">
        <v>8</v>
      </c>
      <c r="D41" s="86"/>
    </row>
    <row r="42" s="1" customFormat="true" ht="15.75" hidden="false" customHeight="true" outlineLevel="0" collapsed="false">
      <c r="A42" s="87" t="n">
        <v>45947</v>
      </c>
      <c r="B42" s="84" t="s">
        <v>93</v>
      </c>
      <c r="C42" s="85" t="n">
        <v>8</v>
      </c>
      <c r="D42" s="86"/>
    </row>
    <row r="43" s="1" customFormat="true" ht="15.75" hidden="false" customHeight="true" outlineLevel="0" collapsed="false">
      <c r="A43" s="88" t="n">
        <v>45957</v>
      </c>
      <c r="B43" s="89" t="s">
        <v>108</v>
      </c>
      <c r="C43" s="90" t="n">
        <v>8</v>
      </c>
      <c r="D43" s="91"/>
    </row>
    <row r="44" s="1" customFormat="true" ht="15.75" hidden="false" customHeight="true" outlineLevel="0" collapsed="false">
      <c r="A44" s="92"/>
      <c r="B44" s="93"/>
      <c r="C44" s="69"/>
      <c r="D44" s="94"/>
    </row>
    <row r="45" s="1" customFormat="true" ht="15.75" hidden="false" customHeight="true" outlineLevel="0" collapsed="false">
      <c r="C45" s="2"/>
    </row>
    <row r="46" customFormat="false" ht="15.75" hidden="false" customHeight="true" outlineLevel="0" collapsed="false">
      <c r="A46" s="77" t="s">
        <v>78</v>
      </c>
      <c r="B46" s="96" t="s">
        <v>79</v>
      </c>
      <c r="C46" s="96"/>
      <c r="D46" s="96"/>
      <c r="E46" s="96"/>
      <c r="F46" s="96"/>
      <c r="G46" s="76"/>
    </row>
    <row r="47" customFormat="false" ht="15.75" hidden="false" customHeight="true" outlineLevel="0" collapsed="false">
      <c r="A47" s="9" t="s">
        <v>69</v>
      </c>
      <c r="B47" s="10" t="s">
        <v>80</v>
      </c>
      <c r="C47" s="10" t="s">
        <v>7</v>
      </c>
      <c r="D47" s="12" t="s">
        <v>69</v>
      </c>
      <c r="E47" s="76"/>
      <c r="F47" s="76"/>
    </row>
    <row r="48" s="1" customFormat="true" ht="15.75" hidden="false" customHeight="true" outlineLevel="0" collapsed="false">
      <c r="A48" s="97"/>
      <c r="B48" s="98"/>
      <c r="C48" s="90"/>
      <c r="D48" s="99"/>
    </row>
    <row r="49" s="1" customFormat="true" ht="15.75" hidden="false" customHeight="true" outlineLevel="0" collapsed="false">
      <c r="A49" s="97"/>
      <c r="B49" s="98"/>
      <c r="C49" s="90"/>
      <c r="D49" s="99"/>
    </row>
    <row r="50" s="1" customFormat="true" ht="15.75" hidden="false" customHeight="true" outlineLevel="0" collapsed="false">
      <c r="A50" s="100"/>
      <c r="B50" s="101"/>
      <c r="C50" s="69"/>
      <c r="D50" s="94"/>
    </row>
    <row r="51" s="1" customFormat="true" ht="11.25" hidden="false" customHeight="false" outlineLevel="0" collapsed="false">
      <c r="C51" s="2"/>
    </row>
    <row r="52" s="1" customFormat="true" ht="11.25" hidden="false" customHeight="false" outlineLevel="0" collapsed="false">
      <c r="C52" s="2"/>
    </row>
    <row r="53" s="1" customFormat="true" ht="11.25" hidden="false" customHeight="false" outlineLevel="0" collapsed="false">
      <c r="C53" s="2"/>
    </row>
    <row r="54" s="1" customFormat="true" ht="11.25" hidden="false" customHeight="false" outlineLevel="0" collapsed="false">
      <c r="C54" s="2"/>
    </row>
  </sheetData>
  <mergeCells count="2">
    <mergeCell ref="B1:C1"/>
    <mergeCell ref="B46:F46"/>
  </mergeCells>
  <printOptions headings="false" gridLines="false" gridLinesSet="true" horizontalCentered="false" verticalCentered="true"/>
  <pageMargins left="0.708333333333333" right="0.708333333333333" top="0" bottom="0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5E0B4"/>
    <pageSetUpPr fitToPage="tru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35" activeCellId="0" sqref="C35"/>
    </sheetView>
  </sheetViews>
  <sheetFormatPr defaultColWidth="9.79296875" defaultRowHeight="11.25" zeroHeight="false" outlineLevelRow="0" outlineLevelCol="0"/>
  <cols>
    <col collapsed="false" customWidth="true" hidden="false" outlineLevel="0" max="1" min="1" style="1" width="31.76"/>
    <col collapsed="false" customWidth="true" hidden="false" outlineLevel="0" max="2" min="2" style="1" width="12.53"/>
    <col collapsed="false" customWidth="true" hidden="false" outlineLevel="0" max="3" min="3" style="2" width="13.22"/>
    <col collapsed="false" customWidth="true" hidden="false" outlineLevel="0" max="4" min="4" style="1" width="56.48"/>
    <col collapsed="false" customWidth="true" hidden="false" outlineLevel="0" max="5" min="5" style="2" width="12.53"/>
    <col collapsed="false" customWidth="true" hidden="false" outlineLevel="0" max="6" min="6" style="2" width="45.66"/>
    <col collapsed="false" customWidth="false" hidden="false" outlineLevel="0" max="16384" min="7" style="1" width="9.79"/>
  </cols>
  <sheetData>
    <row r="1" customFormat="false" ht="15.75" hidden="false" customHeight="true" outlineLevel="0" collapsed="false">
      <c r="A1" s="7" t="s">
        <v>36</v>
      </c>
      <c r="B1" s="7"/>
      <c r="C1" s="8"/>
      <c r="D1" s="42" t="s">
        <v>37</v>
      </c>
      <c r="E1" s="43"/>
      <c r="F1" s="2" t="s">
        <v>4</v>
      </c>
    </row>
    <row r="2" customFormat="false" ht="15.75" hidden="false" customHeight="true" outlineLevel="0" collapsed="false">
      <c r="A2" s="111" t="s">
        <v>5</v>
      </c>
      <c r="B2" s="112" t="s">
        <v>6</v>
      </c>
      <c r="C2" s="112" t="s">
        <v>7</v>
      </c>
      <c r="D2" s="113" t="s">
        <v>8</v>
      </c>
      <c r="E2" s="113" t="s">
        <v>9</v>
      </c>
      <c r="F2" s="114" t="s">
        <v>10</v>
      </c>
    </row>
    <row r="3" customFormat="false" ht="15.75" hidden="false" customHeight="true" outlineLevel="0" collapsed="false">
      <c r="A3" s="53" t="s">
        <v>127</v>
      </c>
      <c r="B3" s="54"/>
      <c r="C3" s="105" t="n">
        <f aca="false">10*E3</f>
        <v>0</v>
      </c>
      <c r="D3" s="55"/>
      <c r="E3" s="56" t="n">
        <v>0</v>
      </c>
      <c r="F3" s="57" t="n">
        <v>10</v>
      </c>
    </row>
    <row r="4" customFormat="false" ht="15.75" hidden="false" customHeight="true" outlineLevel="0" collapsed="false">
      <c r="A4" s="53" t="s">
        <v>128</v>
      </c>
      <c r="B4" s="54"/>
      <c r="C4" s="105" t="n">
        <f aca="false">10*E4</f>
        <v>0</v>
      </c>
      <c r="D4" s="55"/>
      <c r="E4" s="56" t="n">
        <v>0</v>
      </c>
      <c r="F4" s="57" t="n">
        <v>10</v>
      </c>
    </row>
    <row r="5" customFormat="false" ht="15.75" hidden="false" customHeight="true" outlineLevel="0" collapsed="false">
      <c r="A5" s="53" t="s">
        <v>129</v>
      </c>
      <c r="B5" s="54"/>
      <c r="C5" s="105" t="n">
        <f aca="false">10*E5</f>
        <v>0</v>
      </c>
      <c r="D5" s="55"/>
      <c r="E5" s="56" t="n">
        <v>0</v>
      </c>
      <c r="F5" s="57" t="n">
        <v>10</v>
      </c>
    </row>
    <row r="6" customFormat="false" ht="15.75" hidden="false" customHeight="true" outlineLevel="0" collapsed="false">
      <c r="A6" s="58" t="s">
        <v>130</v>
      </c>
      <c r="B6" s="54"/>
      <c r="C6" s="105" t="n">
        <f aca="false">10*E6</f>
        <v>0</v>
      </c>
      <c r="D6" s="55"/>
      <c r="E6" s="56" t="n">
        <v>0</v>
      </c>
      <c r="F6" s="57" t="n">
        <v>10</v>
      </c>
    </row>
    <row r="7" customFormat="false" ht="15.75" hidden="false" customHeight="true" outlineLevel="0" collapsed="false">
      <c r="A7" s="53" t="s">
        <v>131</v>
      </c>
      <c r="B7" s="54"/>
      <c r="C7" s="105" t="n">
        <f aca="false">10*E7</f>
        <v>0</v>
      </c>
      <c r="D7" s="55"/>
      <c r="E7" s="56" t="n">
        <v>0</v>
      </c>
      <c r="F7" s="57" t="n">
        <v>10</v>
      </c>
    </row>
    <row r="8" customFormat="false" ht="15.75" hidden="false" customHeight="true" outlineLevel="0" collapsed="false">
      <c r="A8" s="53" t="s">
        <v>132</v>
      </c>
      <c r="B8" s="54"/>
      <c r="C8" s="105" t="n">
        <f aca="false">10*E8</f>
        <v>0</v>
      </c>
      <c r="D8" s="55"/>
      <c r="E8" s="56" t="n">
        <v>0</v>
      </c>
      <c r="F8" s="57" t="n">
        <v>10</v>
      </c>
    </row>
    <row r="9" customFormat="false" ht="15.75" hidden="false" customHeight="true" outlineLevel="0" collapsed="false">
      <c r="A9" s="60" t="s">
        <v>133</v>
      </c>
      <c r="B9" s="52"/>
      <c r="C9" s="105" t="n">
        <f aca="false">10*E9</f>
        <v>0</v>
      </c>
      <c r="D9" s="115"/>
      <c r="E9" s="56" t="n">
        <v>0</v>
      </c>
      <c r="F9" s="61" t="n">
        <v>10</v>
      </c>
    </row>
    <row r="10" customFormat="false" ht="15.75" hidden="false" customHeight="true" outlineLevel="0" collapsed="false">
      <c r="A10" s="53" t="s">
        <v>134</v>
      </c>
      <c r="B10" s="54"/>
      <c r="C10" s="105" t="n">
        <f aca="false">10*E10</f>
        <v>0</v>
      </c>
      <c r="D10" s="55"/>
      <c r="E10" s="56" t="n">
        <v>0</v>
      </c>
      <c r="F10" s="57" t="n">
        <v>10</v>
      </c>
    </row>
    <row r="11" customFormat="false" ht="15.75" hidden="false" customHeight="true" outlineLevel="0" collapsed="false">
      <c r="A11" s="53" t="s">
        <v>41</v>
      </c>
      <c r="B11" s="54"/>
      <c r="C11" s="90" t="n">
        <f aca="false">9*E11</f>
        <v>0</v>
      </c>
      <c r="D11" s="104"/>
      <c r="E11" s="56" t="n">
        <v>0</v>
      </c>
      <c r="F11" s="116" t="s">
        <v>135</v>
      </c>
    </row>
    <row r="12" customFormat="false" ht="15.75" hidden="false" customHeight="true" outlineLevel="0" collapsed="false">
      <c r="A12" s="53" t="s">
        <v>136</v>
      </c>
      <c r="B12" s="54"/>
      <c r="C12" s="90" t="n">
        <f aca="false">9*E12</f>
        <v>0</v>
      </c>
      <c r="D12" s="55"/>
      <c r="E12" s="56" t="n">
        <v>0</v>
      </c>
      <c r="F12" s="116" t="s">
        <v>135</v>
      </c>
    </row>
    <row r="13" customFormat="false" ht="15.75" hidden="false" customHeight="true" outlineLevel="0" collapsed="false">
      <c r="A13" s="53" t="s">
        <v>42</v>
      </c>
      <c r="B13" s="54"/>
      <c r="C13" s="90" t="n">
        <f aca="false">6*E13</f>
        <v>0</v>
      </c>
      <c r="D13" s="104"/>
      <c r="E13" s="56" t="n">
        <v>0</v>
      </c>
      <c r="F13" s="116" t="s">
        <v>137</v>
      </c>
    </row>
    <row r="14" customFormat="false" ht="15.75" hidden="false" customHeight="true" outlineLevel="0" collapsed="false">
      <c r="A14" s="53" t="s">
        <v>138</v>
      </c>
      <c r="B14" s="54"/>
      <c r="C14" s="90" t="n">
        <f aca="false">6*E14</f>
        <v>0</v>
      </c>
      <c r="D14" s="55"/>
      <c r="E14" s="56" t="n">
        <v>0</v>
      </c>
      <c r="F14" s="116" t="s">
        <v>137</v>
      </c>
    </row>
    <row r="15" customFormat="false" ht="15.75" hidden="false" customHeight="true" outlineLevel="0" collapsed="false">
      <c r="A15" s="53" t="s">
        <v>46</v>
      </c>
      <c r="B15" s="54"/>
      <c r="C15" s="90" t="n">
        <f aca="false">6*E15</f>
        <v>0</v>
      </c>
      <c r="D15" s="55"/>
      <c r="E15" s="56" t="n">
        <v>0</v>
      </c>
      <c r="F15" s="116" t="s">
        <v>137</v>
      </c>
    </row>
    <row r="16" customFormat="false" ht="15.75" hidden="false" customHeight="true" outlineLevel="0" collapsed="false">
      <c r="A16" s="53" t="s">
        <v>139</v>
      </c>
      <c r="B16" s="54"/>
      <c r="C16" s="90" t="n">
        <f aca="false">9*E16</f>
        <v>0</v>
      </c>
      <c r="D16" s="55"/>
      <c r="E16" s="56" t="n">
        <v>0</v>
      </c>
      <c r="F16" s="116" t="s">
        <v>137</v>
      </c>
    </row>
    <row r="17" customFormat="false" ht="15.75" hidden="false" customHeight="true" outlineLevel="0" collapsed="false">
      <c r="A17" s="53" t="s">
        <v>45</v>
      </c>
      <c r="B17" s="54"/>
      <c r="C17" s="90" t="n">
        <f aca="false">9*E17</f>
        <v>0</v>
      </c>
      <c r="D17" s="104"/>
      <c r="E17" s="56" t="n">
        <v>0</v>
      </c>
      <c r="F17" s="116" t="s">
        <v>135</v>
      </c>
    </row>
    <row r="18" customFormat="false" ht="15.75" hidden="false" customHeight="true" outlineLevel="0" collapsed="false">
      <c r="A18" s="53" t="s">
        <v>140</v>
      </c>
      <c r="B18" s="54"/>
      <c r="C18" s="90" t="n">
        <f aca="false">9*E18</f>
        <v>0</v>
      </c>
      <c r="D18" s="55"/>
      <c r="E18" s="56" t="n">
        <v>0</v>
      </c>
      <c r="F18" s="116" t="s">
        <v>135</v>
      </c>
    </row>
    <row r="19" customFormat="false" ht="15.75" hidden="false" customHeight="true" outlineLevel="0" collapsed="false">
      <c r="A19" s="53"/>
      <c r="B19" s="54"/>
      <c r="C19" s="90"/>
      <c r="D19" s="55"/>
      <c r="E19" s="56"/>
      <c r="F19" s="57"/>
    </row>
    <row r="20" customFormat="false" ht="15.75" hidden="false" customHeight="true" outlineLevel="0" collapsed="false">
      <c r="A20" s="58" t="s">
        <v>64</v>
      </c>
      <c r="B20" s="54"/>
      <c r="C20" s="90"/>
      <c r="D20" s="55"/>
      <c r="E20" s="56" t="n">
        <v>0</v>
      </c>
      <c r="F20" s="116" t="s">
        <v>141</v>
      </c>
    </row>
    <row r="21" customFormat="false" ht="15.75" hidden="false" customHeight="true" outlineLevel="0" collapsed="false">
      <c r="A21" s="51" t="s">
        <v>142</v>
      </c>
      <c r="B21" s="52" t="s">
        <v>143</v>
      </c>
      <c r="C21" s="117" t="n">
        <v>8</v>
      </c>
      <c r="D21" s="118" t="n">
        <v>45408</v>
      </c>
      <c r="E21" s="56"/>
      <c r="F21" s="61"/>
    </row>
    <row r="22" customFormat="false" ht="15.75" hidden="false" customHeight="true" outlineLevel="0" collapsed="false">
      <c r="A22" s="60" t="s">
        <v>144</v>
      </c>
      <c r="B22" s="52"/>
      <c r="C22" s="117" t="n">
        <v>9</v>
      </c>
      <c r="D22" s="118" t="n">
        <v>45408</v>
      </c>
      <c r="E22" s="56"/>
      <c r="F22" s="61"/>
    </row>
    <row r="23" customFormat="false" ht="15.75" hidden="false" customHeight="true" outlineLevel="0" collapsed="false">
      <c r="A23" s="60" t="s">
        <v>145</v>
      </c>
      <c r="B23" s="52"/>
      <c r="C23" s="117" t="n">
        <v>14</v>
      </c>
      <c r="D23" s="118" t="n">
        <v>45412</v>
      </c>
      <c r="E23" s="56"/>
      <c r="F23" s="61"/>
    </row>
    <row r="24" customFormat="false" ht="15.75" hidden="false" customHeight="true" outlineLevel="0" collapsed="false">
      <c r="A24" s="51" t="s">
        <v>146</v>
      </c>
      <c r="B24" s="52"/>
      <c r="C24" s="117" t="n">
        <v>9</v>
      </c>
      <c r="D24" s="104" t="n">
        <v>45412</v>
      </c>
      <c r="E24" s="56" t="n">
        <v>0</v>
      </c>
      <c r="F24" s="61"/>
    </row>
    <row r="25" customFormat="false" ht="15.75" hidden="false" customHeight="true" outlineLevel="0" collapsed="false">
      <c r="A25" s="60" t="s">
        <v>147</v>
      </c>
      <c r="B25" s="52"/>
      <c r="C25" s="117" t="n">
        <v>8</v>
      </c>
      <c r="D25" s="104" t="n">
        <v>45419</v>
      </c>
      <c r="E25" s="56" t="n">
        <v>0</v>
      </c>
      <c r="F25" s="61"/>
    </row>
    <row r="26" customFormat="false" ht="15.75" hidden="false" customHeight="true" outlineLevel="0" collapsed="false">
      <c r="A26" s="60" t="s">
        <v>148</v>
      </c>
      <c r="B26" s="52"/>
      <c r="C26" s="117" t="n">
        <v>14</v>
      </c>
      <c r="D26" s="104" t="n">
        <v>45428</v>
      </c>
      <c r="E26" s="56" t="n">
        <v>0</v>
      </c>
      <c r="F26" s="61"/>
    </row>
    <row r="27" customFormat="false" ht="15.75" hidden="false" customHeight="true" outlineLevel="0" collapsed="false">
      <c r="A27" s="60" t="s">
        <v>149</v>
      </c>
      <c r="B27" s="52"/>
      <c r="C27" s="117" t="n">
        <v>10</v>
      </c>
      <c r="D27" s="115" t="n">
        <v>45434</v>
      </c>
      <c r="E27" s="56" t="n">
        <v>0</v>
      </c>
      <c r="F27" s="61"/>
    </row>
    <row r="28" customFormat="false" ht="15.75" hidden="false" customHeight="true" outlineLevel="0" collapsed="false">
      <c r="A28" s="67"/>
      <c r="B28" s="68"/>
      <c r="C28" s="69"/>
      <c r="D28" s="70"/>
      <c r="E28" s="70"/>
      <c r="F28" s="71"/>
    </row>
  </sheetData>
  <printOptions headings="false" gridLines="false" gridLinesSet="true" horizontalCentered="false" verticalCentered="true"/>
  <pageMargins left="0.708333333333333" right="0.708333333333333" top="0" bottom="0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2018-12-26T04:51:02Z</dcterms:created>
  <dc:creator>AutoBVT</dc:creator>
  <dc:description/>
  <dc:language>ko-KR</dc:language>
  <cp:lastModifiedBy/>
  <cp:lastPrinted>2025-12-25T21:59:54Z</cp:lastPrinted>
  <dcterms:modified xsi:type="dcterms:W3CDTF">2026-02-10T14:13:01Z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